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BSTER69\Documents\GitHub\WORK\RMUTL_DOCUMENT\"/>
    </mc:Choice>
  </mc:AlternateContent>
  <xr:revisionPtr revIDLastSave="0" documentId="13_ncr:1_{944C5577-487E-4052-AA7A-D30C6BCBF5F6}" xr6:coauthVersionLast="47" xr6:coauthVersionMax="47" xr10:uidLastSave="{00000000-0000-0000-0000-000000000000}"/>
  <bookViews>
    <workbookView xWindow="-110" yWindow="-110" windowWidth="25820" windowHeight="15500" activeTab="2" xr2:uid="{8CD91B2B-7389-4CCD-B3AA-419B3EA4F8F7}"/>
  </bookViews>
  <sheets>
    <sheet name="มคอ. 2" sheetId="3" r:id="rId1"/>
    <sheet name="แผนการเรียนในหลักสูตร 67" sheetId="2" r:id="rId2"/>
    <sheet name="แผนการเรียนในหลักสูตร 68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7" i="2" l="1"/>
  <c r="E55" i="2"/>
  <c r="E53" i="2"/>
  <c r="E44" i="2"/>
  <c r="E57" i="1"/>
  <c r="E55" i="1"/>
  <c r="E53" i="1"/>
  <c r="E47" i="1"/>
  <c r="E39" i="1"/>
  <c r="E30" i="1"/>
  <c r="E20" i="1"/>
  <c r="E61" i="1"/>
  <c r="E60" i="1"/>
  <c r="E11" i="1"/>
  <c r="F74" i="1"/>
  <c r="E73" i="1"/>
  <c r="E72" i="1"/>
  <c r="E71" i="1"/>
  <c r="E70" i="1"/>
  <c r="E69" i="1"/>
  <c r="E68" i="1"/>
  <c r="E67" i="1"/>
  <c r="E66" i="1"/>
  <c r="E65" i="1"/>
  <c r="E64" i="1"/>
  <c r="E63" i="1"/>
  <c r="E62" i="1"/>
  <c r="E68" i="2"/>
  <c r="F74" i="2"/>
  <c r="E73" i="2"/>
  <c r="E72" i="2"/>
  <c r="E71" i="2"/>
  <c r="E70" i="2"/>
  <c r="E69" i="2"/>
  <c r="E67" i="2"/>
  <c r="E66" i="2"/>
  <c r="E65" i="2"/>
  <c r="E64" i="2"/>
  <c r="E63" i="2"/>
  <c r="E62" i="2"/>
  <c r="E61" i="2"/>
  <c r="E60" i="2"/>
  <c r="E36" i="2"/>
  <c r="E27" i="2"/>
  <c r="E19" i="2"/>
  <c r="E11" i="2"/>
  <c r="E74" i="1" l="1"/>
  <c r="E74" i="2" l="1"/>
  <c r="F67" i="3" l="1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67" i="3" s="1"/>
  <c r="E50" i="3"/>
</calcChain>
</file>

<file path=xl/sharedStrings.xml><?xml version="1.0" encoding="utf-8"?>
<sst xmlns="http://schemas.openxmlformats.org/spreadsheetml/2006/main" count="684" uniqueCount="171">
  <si>
    <t>มหาวิทยาลัยเทคโนโลยีราชมงคลล้านนา เชียงราย</t>
  </si>
  <si>
    <t xml:space="preserve">อาจารย์ที่ปรึกษา </t>
  </si>
  <si>
    <t>ลำดับ</t>
  </si>
  <si>
    <t>รหัสวิชา</t>
  </si>
  <si>
    <t>รายชื่อวิชา</t>
  </si>
  <si>
    <t>ลักษณะวิชา</t>
  </si>
  <si>
    <t>หน่วยกิต</t>
  </si>
  <si>
    <t>ปีการศึกษา</t>
  </si>
  <si>
    <t>วิชาบังคับก่อน</t>
  </si>
  <si>
    <t>อาจารย์ผู้สอน</t>
  </si>
  <si>
    <t>GEBXXXXX</t>
  </si>
  <si>
    <t>ศึกษาทั่วไปบังคับ 1</t>
  </si>
  <si>
    <t>1/</t>
  </si>
  <si>
    <t>FUNMA110</t>
  </si>
  <si>
    <t>แคลคูลัสมูลฐานสาหรับวิศวกร</t>
  </si>
  <si>
    <t>กลุ่มวิชาพื้นฐานทางวิทยาศาสตร์และคณิตศาสตร์</t>
  </si>
  <si>
    <t>ENGCC301</t>
  </si>
  <si>
    <t>เขียนแบบวิศวกรรม</t>
  </si>
  <si>
    <t>กลุ่มวิชาพื้นฐานทางวิศวกรรมศาสตร์</t>
  </si>
  <si>
    <t>ENGCC304</t>
  </si>
  <si>
    <t>การเขียนโปรแกรมคอมพิวเตอร์</t>
  </si>
  <si>
    <t>ENGEE105</t>
  </si>
  <si>
    <t>การฝึกเบื้องต้นทางวิศวกรรม</t>
  </si>
  <si>
    <t>ENGEE106</t>
  </si>
  <si>
    <t>เครื่องมือวัดและการวัดทางไฟฟ้า</t>
  </si>
  <si>
    <t>ENGEE160</t>
  </si>
  <si>
    <t>อิเล็กทรอนิกส์วิศวกรรม</t>
  </si>
  <si>
    <t>ศึกษาทั่วไปบังคับ 2</t>
  </si>
  <si>
    <t>2/</t>
  </si>
  <si>
    <t>FUNMA111</t>
  </si>
  <si>
    <t>แคลคูลัสประยุกต์สำหรับวิศวกร</t>
  </si>
  <si>
    <t>FUNSC115</t>
  </si>
  <si>
    <t>ฟิสิกส์มูลฐานสำหรับวิศวกร</t>
  </si>
  <si>
    <t>ENGCE117</t>
  </si>
  <si>
    <t>การเขียนโปรแกรมสำหรับวิศวกรคอมพิวเตอร์</t>
  </si>
  <si>
    <t>กลุ่มเทคโนโลยีและวิธีการทางซอฟต์แวร์</t>
  </si>
  <si>
    <t>ENGCE118</t>
  </si>
  <si>
    <t>คณิตศาสตร์ดิสครีตสำหรับวิศวกรรมคอมพิวเตอร์</t>
  </si>
  <si>
    <t>กลุ่มโครงสร้างพื้นฐานของระบบ</t>
  </si>
  <si>
    <t>ENGCE120</t>
  </si>
  <si>
    <t>งานฝึกพื้นฐานทางวิศวกรรมคอมพิวเตอร์</t>
  </si>
  <si>
    <t>กลุ่มฮาร์ดแวร์และสถาปัตยกรรมคอมพิวเตอร์</t>
  </si>
  <si>
    <t>ENGEE161</t>
  </si>
  <si>
    <t>วงจรดิจิทัลและการออกแบบลอจิก</t>
  </si>
  <si>
    <t>ศึกษาทั่วไปบังคับ 3</t>
  </si>
  <si>
    <t>ENGEE101</t>
  </si>
  <si>
    <t>วงจรไฟฟ้า</t>
  </si>
  <si>
    <t>ENGEE102</t>
  </si>
  <si>
    <t>คณิตศาสตร์วิศวกรรมไฟฟ้า</t>
  </si>
  <si>
    <t>ENGCE106</t>
  </si>
  <si>
    <t>การสื่อสารข้อมูลและเครือข่าย</t>
  </si>
  <si>
    <t>ENGCE119</t>
  </si>
  <si>
    <t>ความน่าจะเป็นและสถิติในงานวิศวกรรม</t>
  </si>
  <si>
    <t>ENGCE121</t>
  </si>
  <si>
    <t>โครงสร้างและสถาปัตยกรรมคอมพิวเตอร์</t>
  </si>
  <si>
    <t>ENGCE124</t>
  </si>
  <si>
    <t>โครงสร้างข้อมูลและขั้นตอนวิธี</t>
  </si>
  <si>
    <t>ศึกษาทั่วไปบังคับ 4</t>
  </si>
  <si>
    <t>ศึกษาทั่วไปบังคับ 5</t>
  </si>
  <si>
    <t>ENGCE122</t>
  </si>
  <si>
    <t>ไมโครโพรเซสเซอร์และการอินเตอร์เฟส</t>
  </si>
  <si>
    <t>ENGCE125</t>
  </si>
  <si>
    <t>ระบบปฏิบัติการ</t>
  </si>
  <si>
    <t>ENGCE126</t>
  </si>
  <si>
    <t>ระบบฐานข้อมูล</t>
  </si>
  <si>
    <t>กลุ่มเทคโนโลยีเพื่องานประยุกต์</t>
  </si>
  <si>
    <t>ENGCE200</t>
  </si>
  <si>
    <t>การออกแบบระบบดิจิทัล</t>
  </si>
  <si>
    <t>ENGCE400</t>
  </si>
  <si>
    <t>ปัญญาประดิษฐ์และการเรียนรู้ของเครื่องเบื้องต้น</t>
  </si>
  <si>
    <t>ENGCE118&amp;ENGCE119</t>
  </si>
  <si>
    <t>ศึกษาทั่วไปบังคับ 6</t>
  </si>
  <si>
    <t>ศึกษาทั่วไปบังคับ 7</t>
  </si>
  <si>
    <t>ENGCE110</t>
  </si>
  <si>
    <t>ความมั่นคงปลอดภัยของคอมพิวเตอร์และข้อมูล</t>
  </si>
  <si>
    <t>ENGCE123</t>
  </si>
  <si>
    <t>ระบบสมองกลฝังตัวและอินเทอร์เน็ตในทุกสรรพสิ่ง</t>
  </si>
  <si>
    <t>ENGCE127</t>
  </si>
  <si>
    <t>การวิเคราะห์และออกแบบระบบ</t>
  </si>
  <si>
    <t>ENGCEXXX</t>
  </si>
  <si>
    <t>วิชาชีพเลือก 1</t>
  </si>
  <si>
    <t>วิชาชีพเลือก 2</t>
  </si>
  <si>
    <t>ศึกษาทั่วไปบังคับ 8</t>
  </si>
  <si>
    <t>ENGCE113</t>
  </si>
  <si>
    <t>การเตรียมโครงงานวิศวกรรมคอมพิวเตอร์</t>
  </si>
  <si>
    <t>กลุ่มฝึกวิชาชีพและโครงงาน</t>
  </si>
  <si>
    <t>ENGCE128</t>
  </si>
  <si>
    <t>เตรียมเข้าสู่สถานประกอบการทางวิศวกรรมคอมพิวเตอร์</t>
  </si>
  <si>
    <t>วิชาชีพเลือก 3</t>
  </si>
  <si>
    <t>วิชาชีพเลือก 4</t>
  </si>
  <si>
    <t>XXXXXXXX</t>
  </si>
  <si>
    <t>วิชาเลือกเสรี 1</t>
  </si>
  <si>
    <t>ENGCE115</t>
  </si>
  <si>
    <t>สหกิจศึกษาทางวิศวกรรมคอมพิวเตอร์</t>
  </si>
  <si>
    <t>ศึกษาทั่วไปเลือก 1</t>
  </si>
  <si>
    <t>ศึกษาทั่วไปเลือก 2</t>
  </si>
  <si>
    <t>ENGCE114</t>
  </si>
  <si>
    <t>โครงงานวิศวกรรมคอมพิวเตอร์</t>
  </si>
  <si>
    <t>วิชาเลือกเสรี 2</t>
  </si>
  <si>
    <t>หน่อยกิตรวม</t>
  </si>
  <si>
    <t>โครงสร้างหลักสูตร</t>
  </si>
  <si>
    <t>หน่วยกิตในแผน</t>
  </si>
  <si>
    <t>หน่วยกิตตามโครงสร้าง</t>
  </si>
  <si>
    <t>หมวดวิชาศึกษาทั่วไป</t>
  </si>
  <si>
    <t>วิชาศึกษาทั่วไปบังคับ</t>
  </si>
  <si>
    <t>กลุ่มวิชาภาษาและการสื่อสาร</t>
  </si>
  <si>
    <t>กลุ่มวิชาสุขภาพ</t>
  </si>
  <si>
    <t>กลุ่มวิชาบูรณาการ</t>
  </si>
  <si>
    <t>วิชาศึกษาทั่วไปเลือก</t>
  </si>
  <si>
    <t>กลุ่มวิชาสังคมศาสตร์และมนุษยศาสตร์</t>
  </si>
  <si>
    <t>กลุ่มวิชาวิทยาศาสตร์และคณิตศาสตร์</t>
  </si>
  <si>
    <t>หมวดวิชาเฉพาะ</t>
  </si>
  <si>
    <t>วิชาแกน (กลุ่มวิชาพื้นฐานวิชาชีพ</t>
  </si>
  <si>
    <t>วิชาเฉพาะด้าน (กลุ่มวิชาชีพบังคับ)</t>
  </si>
  <si>
    <t>วิชาเลือก (กลุ่มวิชาชีพเลือก)</t>
  </si>
  <si>
    <t>หมวดวิชาเลือกเสรี</t>
  </si>
  <si>
    <t>ENGCE207</t>
  </si>
  <si>
    <t>GEBIN703</t>
  </si>
  <si>
    <t>GEBLC101</t>
  </si>
  <si>
    <t>หัวข้อความก้าวล้ำในงานวิศวกรรมคอมพิวเตอร์</t>
  </si>
  <si>
    <t>แคลคูลัสมูลฐานสำหรับวิศวกร</t>
  </si>
  <si>
    <t>ศิลปะการใช้ชีวิต</t>
  </si>
  <si>
    <t>ภาษาอังกฤษเพื่อการสื่อสารในชีวิตประจำวัน</t>
  </si>
  <si>
    <t>รวม</t>
  </si>
  <si>
    <t>GEBHT601</t>
  </si>
  <si>
    <t>GEBLC103</t>
  </si>
  <si>
    <t>กิจกรรมเพื่อสุขภาพ</t>
  </si>
  <si>
    <t>ภาษาอังกฤษเชิงวิชาการ</t>
  </si>
  <si>
    <t>GEBLC201</t>
  </si>
  <si>
    <t>ศิลปะการใช้ภาษาไทย</t>
  </si>
  <si>
    <t>วิชาแกน (กลุ่มวิชาพื้นฐานวิชาชีพ)</t>
  </si>
  <si>
    <t>1/2567</t>
  </si>
  <si>
    <t>2/2567</t>
  </si>
  <si>
    <t>GEBLC105</t>
  </si>
  <si>
    <t>ภาษาอังกฤษเพื่อทักษะการทำงาน</t>
  </si>
  <si>
    <t>1/2568</t>
  </si>
  <si>
    <t>2/2568</t>
  </si>
  <si>
    <t>GEBIN701</t>
  </si>
  <si>
    <t>GEBIN702</t>
  </si>
  <si>
    <t>กระบวนการคิดและการแก้ปัญหา</t>
  </si>
  <si>
    <t>นวัตกรรมและเทคโนโลยี</t>
  </si>
  <si>
    <t>นาย นุรักษ์ ไชยศรี</t>
  </si>
  <si>
    <t>นาย ณัฐพล อุ่นยัง</t>
  </si>
  <si>
    <t>นางสาว สุภัทรจิตต์ มะโนสด</t>
  </si>
  <si>
    <t>นาย ชัชชัย สีตา</t>
  </si>
  <si>
    <t>นาย ประภาส สุวรรณ</t>
  </si>
  <si>
    <t>ผู้ช่วยศาสตราจารย์ วิโรจน์ ปงลังกา</t>
  </si>
  <si>
    <t>นาย อนิรุทธ์ สงค์ธนาพิทักษ์</t>
  </si>
  <si>
    <t>นาย พิเชษฐ กันทะวัง</t>
  </si>
  <si>
    <t>ENGCE118  &amp; ENGCE119</t>
  </si>
  <si>
    <t>ENGCE403</t>
  </si>
  <si>
    <t>การประมวลผลภาพดิจิทัล และการมองเห็นโดยคอมพิวเตอร์</t>
  </si>
  <si>
    <t>FUNMA110&amp;ENGCE124</t>
  </si>
  <si>
    <t>ENGCE405</t>
  </si>
  <si>
    <t>การเรียนรู้เชิงลึกเบื้องต้น</t>
  </si>
  <si>
    <t>ENGCE306</t>
  </si>
  <si>
    <t>การเขียนโปรแกรมบนเว็บ</t>
  </si>
  <si>
    <t>ปี 1 เทอม 1</t>
  </si>
  <si>
    <t>ปี 1 เทอม 2</t>
  </si>
  <si>
    <t>ปี 2 เทอม 1</t>
  </si>
  <si>
    <t>ปี 2 เทอม 2</t>
  </si>
  <si>
    <t>ระดับ</t>
  </si>
  <si>
    <t>กัมปนาท สุทิจิระพันธ์</t>
  </si>
  <si>
    <t>ปี 3 เทอม 1</t>
  </si>
  <si>
    <t>ปี 4 เทอม 2</t>
  </si>
  <si>
    <t>ปี 4 เทอม 1</t>
  </si>
  <si>
    <t>ปี 3 เทอม 2</t>
  </si>
  <si>
    <t>GEBSO501</t>
  </si>
  <si>
    <t>GEBSC301</t>
  </si>
  <si>
    <t>เทคโนโลยีสารสนเทศที่จำเป็นในชีวิตประจำวัน</t>
  </si>
  <si>
    <t>การพัฒนาทักษะชีวิตและสังคม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</si>
</sst>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2C67-FEB5-468F-B59A-0604AA423B28}">
  <dimension ref="A1:H67"/>
  <sheetViews>
    <sheetView topLeftCell="A13" workbookViewId="0">
      <selection activeCell="D26" sqref="D26"/>
    </sheetView>
  </sheetViews>
  <sheetFormatPr defaultColWidth="8.7265625" defaultRowHeight="24" x14ac:dyDescent="0.8"/>
  <cols>
    <col min="1" max="1" width="5" style="9" customWidth="1"/>
    <col min="2" max="2" width="15" style="9" customWidth="1"/>
    <col min="3" max="3" width="46.453125" style="9" bestFit="1" customWidth="1"/>
    <col min="4" max="4" width="40.453125" style="9" bestFit="1" customWidth="1"/>
    <col min="5" max="5" width="13.7265625" style="9" bestFit="1" customWidth="1"/>
    <col min="6" max="6" width="19.453125" style="9" bestFit="1" customWidth="1"/>
    <col min="7" max="7" width="22.54296875" style="9" bestFit="1" customWidth="1"/>
    <col min="8" max="8" width="12.1796875" style="9" bestFit="1" customWidth="1"/>
    <col min="9" max="16384" width="8.7265625" style="9"/>
  </cols>
  <sheetData>
    <row r="1" spans="1:8" s="1" customFormat="1" x14ac:dyDescent="0.35">
      <c r="A1" s="33" t="s">
        <v>0</v>
      </c>
      <c r="B1" s="33"/>
      <c r="C1" s="33"/>
      <c r="D1" s="33"/>
      <c r="E1" s="33"/>
      <c r="F1" s="33"/>
      <c r="G1" s="33"/>
      <c r="H1" s="33"/>
    </row>
    <row r="2" spans="1:8" s="1" customFormat="1" x14ac:dyDescent="0.35">
      <c r="A2" s="33" t="s">
        <v>1</v>
      </c>
      <c r="B2" s="33"/>
      <c r="C2" s="33"/>
      <c r="D2" s="33"/>
      <c r="E2" s="33"/>
      <c r="F2" s="33"/>
      <c r="G2" s="33"/>
      <c r="H2" s="33"/>
    </row>
    <row r="3" spans="1:8" s="1" customForma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s="1" customFormat="1" x14ac:dyDescent="0.35">
      <c r="A4" s="3">
        <v>1</v>
      </c>
      <c r="B4" s="3" t="s">
        <v>10</v>
      </c>
      <c r="C4" s="3" t="s">
        <v>11</v>
      </c>
      <c r="D4" s="4"/>
      <c r="E4" s="3">
        <v>3</v>
      </c>
      <c r="F4" s="5" t="s">
        <v>12</v>
      </c>
      <c r="G4" s="3"/>
      <c r="H4" s="3"/>
    </row>
    <row r="5" spans="1:8" s="1" customFormat="1" x14ac:dyDescent="0.35">
      <c r="A5" s="3">
        <v>2</v>
      </c>
      <c r="B5" s="3" t="s">
        <v>13</v>
      </c>
      <c r="C5" s="3" t="s">
        <v>14</v>
      </c>
      <c r="D5" s="4" t="s">
        <v>15</v>
      </c>
      <c r="E5" s="3">
        <v>3</v>
      </c>
      <c r="F5" s="5" t="s">
        <v>12</v>
      </c>
      <c r="G5" s="3"/>
      <c r="H5" s="3"/>
    </row>
    <row r="6" spans="1:8" s="1" customFormat="1" x14ac:dyDescent="0.35">
      <c r="A6" s="3">
        <v>3</v>
      </c>
      <c r="B6" s="3" t="s">
        <v>16</v>
      </c>
      <c r="C6" s="3" t="s">
        <v>17</v>
      </c>
      <c r="D6" s="4" t="s">
        <v>18</v>
      </c>
      <c r="E6" s="3">
        <v>3</v>
      </c>
      <c r="F6" s="5" t="s">
        <v>12</v>
      </c>
      <c r="G6" s="3"/>
      <c r="H6" s="3"/>
    </row>
    <row r="7" spans="1:8" s="1" customFormat="1" x14ac:dyDescent="0.35">
      <c r="A7" s="3">
        <v>4</v>
      </c>
      <c r="B7" s="3" t="s">
        <v>19</v>
      </c>
      <c r="C7" s="3" t="s">
        <v>20</v>
      </c>
      <c r="D7" s="4" t="s">
        <v>18</v>
      </c>
      <c r="E7" s="3">
        <v>3</v>
      </c>
      <c r="F7" s="5" t="s">
        <v>12</v>
      </c>
      <c r="G7" s="3"/>
      <c r="H7" s="3"/>
    </row>
    <row r="8" spans="1:8" s="1" customFormat="1" x14ac:dyDescent="0.35">
      <c r="A8" s="3">
        <v>5</v>
      </c>
      <c r="B8" s="3" t="s">
        <v>21</v>
      </c>
      <c r="C8" s="3" t="s">
        <v>22</v>
      </c>
      <c r="D8" s="4" t="s">
        <v>18</v>
      </c>
      <c r="E8" s="3">
        <v>1</v>
      </c>
      <c r="F8" s="5" t="s">
        <v>12</v>
      </c>
      <c r="G8" s="3"/>
      <c r="H8" s="3"/>
    </row>
    <row r="9" spans="1:8" s="1" customFormat="1" x14ac:dyDescent="0.35">
      <c r="A9" s="3">
        <v>6</v>
      </c>
      <c r="B9" s="3" t="s">
        <v>23</v>
      </c>
      <c r="C9" s="3" t="s">
        <v>24</v>
      </c>
      <c r="D9" s="4" t="s">
        <v>18</v>
      </c>
      <c r="E9" s="3">
        <v>3</v>
      </c>
      <c r="F9" s="5" t="s">
        <v>12</v>
      </c>
      <c r="G9" s="3"/>
      <c r="H9" s="3"/>
    </row>
    <row r="10" spans="1:8" s="1" customFormat="1" x14ac:dyDescent="0.35">
      <c r="A10" s="3">
        <v>7</v>
      </c>
      <c r="B10" s="3" t="s">
        <v>25</v>
      </c>
      <c r="C10" s="3" t="s">
        <v>26</v>
      </c>
      <c r="D10" s="4" t="s">
        <v>18</v>
      </c>
      <c r="E10" s="3">
        <v>3</v>
      </c>
      <c r="F10" s="5" t="s">
        <v>12</v>
      </c>
      <c r="G10" s="3"/>
      <c r="H10" s="3"/>
    </row>
    <row r="11" spans="1:8" s="1" customFormat="1" x14ac:dyDescent="0.35">
      <c r="A11" s="2">
        <v>8</v>
      </c>
      <c r="B11" s="2" t="s">
        <v>10</v>
      </c>
      <c r="C11" s="2" t="s">
        <v>27</v>
      </c>
      <c r="D11" s="6"/>
      <c r="E11" s="2">
        <v>3</v>
      </c>
      <c r="F11" s="7" t="s">
        <v>28</v>
      </c>
      <c r="G11" s="2"/>
      <c r="H11" s="2"/>
    </row>
    <row r="12" spans="1:8" s="1" customFormat="1" x14ac:dyDescent="0.35">
      <c r="A12" s="2">
        <v>9</v>
      </c>
      <c r="B12" s="2" t="s">
        <v>29</v>
      </c>
      <c r="C12" s="2" t="s">
        <v>30</v>
      </c>
      <c r="D12" s="6" t="s">
        <v>15</v>
      </c>
      <c r="E12" s="2">
        <v>3</v>
      </c>
      <c r="F12" s="7" t="s">
        <v>28</v>
      </c>
      <c r="G12" s="2" t="s">
        <v>13</v>
      </c>
      <c r="H12" s="2"/>
    </row>
    <row r="13" spans="1:8" s="1" customFormat="1" x14ac:dyDescent="0.35">
      <c r="A13" s="2">
        <v>10</v>
      </c>
      <c r="B13" s="2" t="s">
        <v>31</v>
      </c>
      <c r="C13" s="2" t="s">
        <v>32</v>
      </c>
      <c r="D13" s="6" t="s">
        <v>15</v>
      </c>
      <c r="E13" s="2">
        <v>4</v>
      </c>
      <c r="F13" s="7" t="s">
        <v>28</v>
      </c>
      <c r="G13" s="2"/>
      <c r="H13" s="2"/>
    </row>
    <row r="14" spans="1:8" s="1" customFormat="1" x14ac:dyDescent="0.35">
      <c r="A14" s="2">
        <v>11</v>
      </c>
      <c r="B14" s="2" t="s">
        <v>33</v>
      </c>
      <c r="C14" s="2" t="s">
        <v>34</v>
      </c>
      <c r="D14" s="6" t="s">
        <v>35</v>
      </c>
      <c r="E14" s="2">
        <v>3</v>
      </c>
      <c r="F14" s="7" t="s">
        <v>28</v>
      </c>
      <c r="G14" s="2" t="s">
        <v>19</v>
      </c>
      <c r="H14" s="2"/>
    </row>
    <row r="15" spans="1:8" s="1" customFormat="1" x14ac:dyDescent="0.35">
      <c r="A15" s="2">
        <v>12</v>
      </c>
      <c r="B15" s="2" t="s">
        <v>36</v>
      </c>
      <c r="C15" s="2" t="s">
        <v>37</v>
      </c>
      <c r="D15" s="6" t="s">
        <v>38</v>
      </c>
      <c r="E15" s="2">
        <v>3</v>
      </c>
      <c r="F15" s="7" t="s">
        <v>28</v>
      </c>
      <c r="G15" s="2"/>
      <c r="H15" s="2"/>
    </row>
    <row r="16" spans="1:8" s="1" customFormat="1" x14ac:dyDescent="0.35">
      <c r="A16" s="2">
        <v>13</v>
      </c>
      <c r="B16" s="2" t="s">
        <v>39</v>
      </c>
      <c r="C16" s="2" t="s">
        <v>40</v>
      </c>
      <c r="D16" s="6" t="s">
        <v>41</v>
      </c>
      <c r="E16" s="2">
        <v>2</v>
      </c>
      <c r="F16" s="7" t="s">
        <v>28</v>
      </c>
      <c r="G16" s="2"/>
      <c r="H16" s="2"/>
    </row>
    <row r="17" spans="1:8" s="1" customFormat="1" x14ac:dyDescent="0.35">
      <c r="A17" s="2">
        <v>14</v>
      </c>
      <c r="B17" s="2" t="s">
        <v>42</v>
      </c>
      <c r="C17" s="2" t="s">
        <v>43</v>
      </c>
      <c r="D17" s="6" t="s">
        <v>18</v>
      </c>
      <c r="E17" s="2">
        <v>3</v>
      </c>
      <c r="F17" s="7" t="s">
        <v>28</v>
      </c>
      <c r="G17" s="2"/>
      <c r="H17" s="2"/>
    </row>
    <row r="18" spans="1:8" s="1" customFormat="1" x14ac:dyDescent="0.35">
      <c r="A18" s="3">
        <v>15</v>
      </c>
      <c r="B18" s="3" t="s">
        <v>10</v>
      </c>
      <c r="C18" s="3" t="s">
        <v>44</v>
      </c>
      <c r="D18" s="4"/>
      <c r="E18" s="3">
        <v>3</v>
      </c>
      <c r="F18" s="5" t="s">
        <v>12</v>
      </c>
      <c r="G18" s="3"/>
      <c r="H18" s="3"/>
    </row>
    <row r="19" spans="1:8" s="1" customFormat="1" x14ac:dyDescent="0.35">
      <c r="A19" s="3">
        <v>16</v>
      </c>
      <c r="B19" s="3" t="s">
        <v>45</v>
      </c>
      <c r="C19" s="3" t="s">
        <v>46</v>
      </c>
      <c r="D19" s="4" t="s">
        <v>18</v>
      </c>
      <c r="E19" s="3">
        <v>3</v>
      </c>
      <c r="F19" s="5" t="s">
        <v>12</v>
      </c>
      <c r="G19" s="3" t="s">
        <v>13</v>
      </c>
      <c r="H19" s="3"/>
    </row>
    <row r="20" spans="1:8" s="1" customFormat="1" x14ac:dyDescent="0.35">
      <c r="A20" s="3">
        <v>17</v>
      </c>
      <c r="B20" s="3" t="s">
        <v>47</v>
      </c>
      <c r="C20" s="3" t="s">
        <v>48</v>
      </c>
      <c r="D20" s="4" t="s">
        <v>15</v>
      </c>
      <c r="E20" s="3">
        <v>3</v>
      </c>
      <c r="F20" s="5" t="s">
        <v>12</v>
      </c>
      <c r="G20" s="3" t="s">
        <v>13</v>
      </c>
      <c r="H20" s="3"/>
    </row>
    <row r="21" spans="1:8" s="1" customFormat="1" x14ac:dyDescent="0.35">
      <c r="A21" s="3">
        <v>18</v>
      </c>
      <c r="B21" s="3" t="s">
        <v>49</v>
      </c>
      <c r="C21" s="3" t="s">
        <v>50</v>
      </c>
      <c r="D21" s="4" t="s">
        <v>38</v>
      </c>
      <c r="E21" s="3">
        <v>3</v>
      </c>
      <c r="F21" s="5" t="s">
        <v>12</v>
      </c>
      <c r="G21" s="3" t="s">
        <v>42</v>
      </c>
      <c r="H21" s="3"/>
    </row>
    <row r="22" spans="1:8" s="1" customFormat="1" x14ac:dyDescent="0.35">
      <c r="A22" s="3">
        <v>19</v>
      </c>
      <c r="B22" s="3" t="s">
        <v>51</v>
      </c>
      <c r="C22" s="3" t="s">
        <v>52</v>
      </c>
      <c r="D22" s="4" t="s">
        <v>38</v>
      </c>
      <c r="E22" s="3">
        <v>3</v>
      </c>
      <c r="F22" s="5" t="s">
        <v>12</v>
      </c>
      <c r="G22" s="3"/>
      <c r="H22" s="3"/>
    </row>
    <row r="23" spans="1:8" s="1" customFormat="1" x14ac:dyDescent="0.35">
      <c r="A23" s="3">
        <v>20</v>
      </c>
      <c r="B23" s="3" t="s">
        <v>53</v>
      </c>
      <c r="C23" s="3" t="s">
        <v>54</v>
      </c>
      <c r="D23" s="4" t="s">
        <v>41</v>
      </c>
      <c r="E23" s="3">
        <v>3</v>
      </c>
      <c r="F23" s="5" t="s">
        <v>12</v>
      </c>
      <c r="G23" s="3" t="s">
        <v>42</v>
      </c>
      <c r="H23" s="3"/>
    </row>
    <row r="24" spans="1:8" s="1" customFormat="1" x14ac:dyDescent="0.35">
      <c r="A24" s="3">
        <v>21</v>
      </c>
      <c r="B24" s="3" t="s">
        <v>55</v>
      </c>
      <c r="C24" s="3" t="s">
        <v>56</v>
      </c>
      <c r="D24" s="4" t="s">
        <v>38</v>
      </c>
      <c r="E24" s="3">
        <v>3</v>
      </c>
      <c r="F24" s="5" t="s">
        <v>12</v>
      </c>
      <c r="G24" s="3" t="s">
        <v>33</v>
      </c>
      <c r="H24" s="3"/>
    </row>
    <row r="25" spans="1:8" s="1" customFormat="1" x14ac:dyDescent="0.35">
      <c r="A25" s="2">
        <v>22</v>
      </c>
      <c r="B25" s="2" t="s">
        <v>10</v>
      </c>
      <c r="C25" s="2" t="s">
        <v>57</v>
      </c>
      <c r="D25" s="6"/>
      <c r="E25" s="2">
        <v>3</v>
      </c>
      <c r="F25" s="7" t="s">
        <v>28</v>
      </c>
      <c r="G25" s="2"/>
      <c r="H25" s="2"/>
    </row>
    <row r="26" spans="1:8" s="1" customFormat="1" x14ac:dyDescent="0.35">
      <c r="A26" s="2">
        <v>23</v>
      </c>
      <c r="B26" s="2" t="s">
        <v>10</v>
      </c>
      <c r="C26" s="2" t="s">
        <v>58</v>
      </c>
      <c r="D26" s="6"/>
      <c r="E26" s="2">
        <v>3</v>
      </c>
      <c r="F26" s="7" t="s">
        <v>28</v>
      </c>
      <c r="G26" s="2"/>
      <c r="H26" s="2"/>
    </row>
    <row r="27" spans="1:8" s="1" customFormat="1" x14ac:dyDescent="0.35">
      <c r="A27" s="2">
        <v>24</v>
      </c>
      <c r="B27" s="2" t="s">
        <v>59</v>
      </c>
      <c r="C27" s="2" t="s">
        <v>60</v>
      </c>
      <c r="D27" s="6" t="s">
        <v>41</v>
      </c>
      <c r="E27" s="2">
        <v>3</v>
      </c>
      <c r="F27" s="7" t="s">
        <v>28</v>
      </c>
      <c r="G27" s="2" t="s">
        <v>42</v>
      </c>
      <c r="H27" s="2"/>
    </row>
    <row r="28" spans="1:8" s="1" customFormat="1" x14ac:dyDescent="0.35">
      <c r="A28" s="2">
        <v>25</v>
      </c>
      <c r="B28" s="2" t="s">
        <v>61</v>
      </c>
      <c r="C28" s="2" t="s">
        <v>62</v>
      </c>
      <c r="D28" s="6" t="s">
        <v>38</v>
      </c>
      <c r="E28" s="2">
        <v>3</v>
      </c>
      <c r="F28" s="7" t="s">
        <v>28</v>
      </c>
      <c r="G28" s="2" t="s">
        <v>55</v>
      </c>
      <c r="H28" s="2"/>
    </row>
    <row r="29" spans="1:8" s="1" customFormat="1" x14ac:dyDescent="0.35">
      <c r="A29" s="2">
        <v>26</v>
      </c>
      <c r="B29" s="2" t="s">
        <v>63</v>
      </c>
      <c r="C29" s="2" t="s">
        <v>64</v>
      </c>
      <c r="D29" s="6" t="s">
        <v>65</v>
      </c>
      <c r="E29" s="2">
        <v>3</v>
      </c>
      <c r="F29" s="7" t="s">
        <v>28</v>
      </c>
      <c r="G29" s="2" t="s">
        <v>33</v>
      </c>
      <c r="H29" s="2"/>
    </row>
    <row r="30" spans="1:8" s="1" customFormat="1" x14ac:dyDescent="0.35">
      <c r="A30" s="2">
        <v>27</v>
      </c>
      <c r="B30" s="2" t="s">
        <v>66</v>
      </c>
      <c r="C30" s="2" t="s">
        <v>67</v>
      </c>
      <c r="D30" s="6" t="s">
        <v>41</v>
      </c>
      <c r="E30" s="2">
        <v>3</v>
      </c>
      <c r="F30" s="7" t="s">
        <v>28</v>
      </c>
      <c r="G30" s="2" t="s">
        <v>42</v>
      </c>
      <c r="H30" s="2"/>
    </row>
    <row r="31" spans="1:8" s="1" customFormat="1" x14ac:dyDescent="0.35">
      <c r="A31" s="2">
        <v>28</v>
      </c>
      <c r="B31" s="2" t="s">
        <v>68</v>
      </c>
      <c r="C31" s="2" t="s">
        <v>69</v>
      </c>
      <c r="D31" s="6" t="s">
        <v>38</v>
      </c>
      <c r="E31" s="2">
        <v>3</v>
      </c>
      <c r="F31" s="7" t="s">
        <v>28</v>
      </c>
      <c r="G31" s="2" t="s">
        <v>70</v>
      </c>
      <c r="H31" s="2"/>
    </row>
    <row r="32" spans="1:8" s="1" customFormat="1" x14ac:dyDescent="0.35">
      <c r="A32" s="3">
        <v>29</v>
      </c>
      <c r="B32" s="3" t="s">
        <v>10</v>
      </c>
      <c r="C32" s="3" t="s">
        <v>71</v>
      </c>
      <c r="D32" s="4"/>
      <c r="E32" s="3">
        <v>3</v>
      </c>
      <c r="F32" s="5" t="s">
        <v>12</v>
      </c>
      <c r="G32" s="3"/>
      <c r="H32" s="3"/>
    </row>
    <row r="33" spans="1:8" s="1" customFormat="1" x14ac:dyDescent="0.35">
      <c r="A33" s="3">
        <v>30</v>
      </c>
      <c r="B33" s="3" t="s">
        <v>10</v>
      </c>
      <c r="C33" s="3" t="s">
        <v>72</v>
      </c>
      <c r="D33" s="4"/>
      <c r="E33" s="3">
        <v>3</v>
      </c>
      <c r="F33" s="5" t="s">
        <v>12</v>
      </c>
      <c r="G33" s="3"/>
      <c r="H33" s="3"/>
    </row>
    <row r="34" spans="1:8" s="1" customFormat="1" x14ac:dyDescent="0.35">
      <c r="A34" s="3">
        <v>31</v>
      </c>
      <c r="B34" s="3" t="s">
        <v>73</v>
      </c>
      <c r="C34" s="3" t="s">
        <v>74</v>
      </c>
      <c r="D34" s="4" t="s">
        <v>35</v>
      </c>
      <c r="E34" s="3">
        <v>3</v>
      </c>
      <c r="F34" s="5" t="s">
        <v>12</v>
      </c>
      <c r="G34" s="3"/>
      <c r="H34" s="3"/>
    </row>
    <row r="35" spans="1:8" s="1" customFormat="1" x14ac:dyDescent="0.35">
      <c r="A35" s="3">
        <v>32</v>
      </c>
      <c r="B35" s="3" t="s">
        <v>75</v>
      </c>
      <c r="C35" s="3" t="s">
        <v>76</v>
      </c>
      <c r="D35" s="4" t="s">
        <v>41</v>
      </c>
      <c r="E35" s="3">
        <v>3</v>
      </c>
      <c r="F35" s="5" t="s">
        <v>12</v>
      </c>
      <c r="G35" s="3" t="s">
        <v>59</v>
      </c>
      <c r="H35" s="3"/>
    </row>
    <row r="36" spans="1:8" s="1" customFormat="1" x14ac:dyDescent="0.35">
      <c r="A36" s="3">
        <v>33</v>
      </c>
      <c r="B36" s="3" t="s">
        <v>77</v>
      </c>
      <c r="C36" s="3" t="s">
        <v>78</v>
      </c>
      <c r="D36" s="4" t="s">
        <v>35</v>
      </c>
      <c r="E36" s="3">
        <v>3</v>
      </c>
      <c r="F36" s="5" t="s">
        <v>12</v>
      </c>
      <c r="G36" s="3" t="s">
        <v>63</v>
      </c>
      <c r="H36" s="3"/>
    </row>
    <row r="37" spans="1:8" s="1" customFormat="1" x14ac:dyDescent="0.35">
      <c r="A37" s="3">
        <v>34</v>
      </c>
      <c r="B37" s="3" t="s">
        <v>79</v>
      </c>
      <c r="C37" s="3" t="s">
        <v>80</v>
      </c>
      <c r="D37" s="4"/>
      <c r="E37" s="3">
        <v>3</v>
      </c>
      <c r="F37" s="5" t="s">
        <v>12</v>
      </c>
      <c r="G37" s="3"/>
      <c r="H37" s="3"/>
    </row>
    <row r="38" spans="1:8" s="1" customFormat="1" x14ac:dyDescent="0.35">
      <c r="A38" s="3">
        <v>35</v>
      </c>
      <c r="B38" s="3" t="s">
        <v>79</v>
      </c>
      <c r="C38" s="3" t="s">
        <v>81</v>
      </c>
      <c r="D38" s="4"/>
      <c r="E38" s="3">
        <v>3</v>
      </c>
      <c r="F38" s="5" t="s">
        <v>12</v>
      </c>
      <c r="G38" s="3"/>
      <c r="H38" s="3"/>
    </row>
    <row r="39" spans="1:8" s="1" customFormat="1" x14ac:dyDescent="0.35">
      <c r="A39" s="2">
        <v>36</v>
      </c>
      <c r="B39" s="2" t="s">
        <v>10</v>
      </c>
      <c r="C39" s="2" t="s">
        <v>82</v>
      </c>
      <c r="D39" s="6"/>
      <c r="E39" s="2">
        <v>3</v>
      </c>
      <c r="F39" s="7" t="s">
        <v>28</v>
      </c>
      <c r="G39" s="2"/>
      <c r="H39" s="2"/>
    </row>
    <row r="40" spans="1:8" s="1" customFormat="1" x14ac:dyDescent="0.35">
      <c r="A40" s="2">
        <v>37</v>
      </c>
      <c r="B40" s="2" t="s">
        <v>83</v>
      </c>
      <c r="C40" s="2" t="s">
        <v>84</v>
      </c>
      <c r="D40" s="6" t="s">
        <v>85</v>
      </c>
      <c r="E40" s="2">
        <v>1</v>
      </c>
      <c r="F40" s="7" t="s">
        <v>28</v>
      </c>
      <c r="G40" s="2"/>
      <c r="H40" s="2"/>
    </row>
    <row r="41" spans="1:8" s="1" customFormat="1" x14ac:dyDescent="0.35">
      <c r="A41" s="2">
        <v>38</v>
      </c>
      <c r="B41" s="2" t="s">
        <v>86</v>
      </c>
      <c r="C41" s="2" t="s">
        <v>87</v>
      </c>
      <c r="D41" s="6" t="s">
        <v>85</v>
      </c>
      <c r="E41" s="2">
        <v>1</v>
      </c>
      <c r="F41" s="7" t="s">
        <v>28</v>
      </c>
      <c r="G41" s="2"/>
      <c r="H41" s="2"/>
    </row>
    <row r="42" spans="1:8" s="1" customFormat="1" x14ac:dyDescent="0.35">
      <c r="A42" s="2">
        <v>39</v>
      </c>
      <c r="B42" s="2" t="s">
        <v>79</v>
      </c>
      <c r="C42" s="2" t="s">
        <v>88</v>
      </c>
      <c r="D42" s="6"/>
      <c r="E42" s="2">
        <v>3</v>
      </c>
      <c r="F42" s="7" t="s">
        <v>28</v>
      </c>
      <c r="G42" s="2"/>
      <c r="H42" s="2"/>
    </row>
    <row r="43" spans="1:8" s="1" customFormat="1" x14ac:dyDescent="0.35">
      <c r="A43" s="2">
        <v>40</v>
      </c>
      <c r="B43" s="2" t="s">
        <v>79</v>
      </c>
      <c r="C43" s="2" t="s">
        <v>89</v>
      </c>
      <c r="D43" s="6"/>
      <c r="E43" s="2">
        <v>3</v>
      </c>
      <c r="F43" s="7" t="s">
        <v>28</v>
      </c>
      <c r="G43" s="2"/>
      <c r="H43" s="2"/>
    </row>
    <row r="44" spans="1:8" s="1" customFormat="1" x14ac:dyDescent="0.35">
      <c r="A44" s="2">
        <v>41</v>
      </c>
      <c r="B44" s="2" t="s">
        <v>90</v>
      </c>
      <c r="C44" s="2" t="s">
        <v>91</v>
      </c>
      <c r="D44" s="6"/>
      <c r="E44" s="2">
        <v>3</v>
      </c>
      <c r="F44" s="7" t="s">
        <v>28</v>
      </c>
      <c r="G44" s="2"/>
      <c r="H44" s="2"/>
    </row>
    <row r="45" spans="1:8" s="1" customFormat="1" x14ac:dyDescent="0.35">
      <c r="A45" s="3">
        <v>42</v>
      </c>
      <c r="B45" s="3" t="s">
        <v>92</v>
      </c>
      <c r="C45" s="3" t="s">
        <v>93</v>
      </c>
      <c r="D45" s="4" t="s">
        <v>85</v>
      </c>
      <c r="E45" s="3">
        <v>6</v>
      </c>
      <c r="F45" s="5" t="s">
        <v>12</v>
      </c>
      <c r="G45" s="3"/>
      <c r="H45" s="3"/>
    </row>
    <row r="46" spans="1:8" s="1" customFormat="1" x14ac:dyDescent="0.35">
      <c r="A46" s="2">
        <v>43</v>
      </c>
      <c r="B46" s="2" t="s">
        <v>10</v>
      </c>
      <c r="C46" s="2" t="s">
        <v>94</v>
      </c>
      <c r="D46" s="6"/>
      <c r="E46" s="2">
        <v>3</v>
      </c>
      <c r="F46" s="7" t="s">
        <v>28</v>
      </c>
      <c r="G46" s="2"/>
      <c r="H46" s="2"/>
    </row>
    <row r="47" spans="1:8" s="1" customFormat="1" x14ac:dyDescent="0.35">
      <c r="A47" s="2">
        <v>44</v>
      </c>
      <c r="B47" s="2" t="s">
        <v>10</v>
      </c>
      <c r="C47" s="2" t="s">
        <v>95</v>
      </c>
      <c r="D47" s="6"/>
      <c r="E47" s="2">
        <v>3</v>
      </c>
      <c r="F47" s="7" t="s">
        <v>28</v>
      </c>
      <c r="G47" s="2"/>
      <c r="H47" s="2"/>
    </row>
    <row r="48" spans="1:8" s="1" customFormat="1" x14ac:dyDescent="0.35">
      <c r="A48" s="2">
        <v>45</v>
      </c>
      <c r="B48" s="2" t="s">
        <v>96</v>
      </c>
      <c r="C48" s="2" t="s">
        <v>97</v>
      </c>
      <c r="D48" s="6" t="s">
        <v>85</v>
      </c>
      <c r="E48" s="2">
        <v>3</v>
      </c>
      <c r="F48" s="7" t="s">
        <v>28</v>
      </c>
      <c r="G48" s="2"/>
      <c r="H48" s="2"/>
    </row>
    <row r="49" spans="1:8" s="1" customFormat="1" x14ac:dyDescent="0.35">
      <c r="A49" s="2">
        <v>46</v>
      </c>
      <c r="B49" s="2" t="s">
        <v>90</v>
      </c>
      <c r="C49" s="2" t="s">
        <v>98</v>
      </c>
      <c r="D49" s="6"/>
      <c r="E49" s="2">
        <v>3</v>
      </c>
      <c r="F49" s="7" t="s">
        <v>28</v>
      </c>
      <c r="G49" s="2"/>
      <c r="H49" s="2"/>
    </row>
    <row r="50" spans="1:8" x14ac:dyDescent="0.8">
      <c r="A50" s="34" t="s">
        <v>99</v>
      </c>
      <c r="B50" s="34"/>
      <c r="C50" s="34"/>
      <c r="D50" s="34"/>
      <c r="E50" s="8">
        <f>SUM(E4:E49)</f>
        <v>135</v>
      </c>
    </row>
    <row r="52" spans="1:8" x14ac:dyDescent="0.8">
      <c r="A52" s="33" t="s">
        <v>100</v>
      </c>
      <c r="B52" s="33"/>
      <c r="C52" s="33"/>
      <c r="D52" s="33"/>
      <c r="E52" s="2" t="s">
        <v>101</v>
      </c>
      <c r="F52" s="7" t="s">
        <v>102</v>
      </c>
    </row>
    <row r="53" spans="1:8" x14ac:dyDescent="0.8">
      <c r="A53" s="35" t="s">
        <v>103</v>
      </c>
      <c r="B53" s="35"/>
      <c r="C53" s="35" t="s">
        <v>104</v>
      </c>
      <c r="D53" s="10" t="s">
        <v>105</v>
      </c>
      <c r="E53" s="11">
        <f>SUMIF(D4:D49,"กลุ่มวิชาภาษาและการสื่อสาร",E4:E49)</f>
        <v>0</v>
      </c>
      <c r="F53" s="11">
        <v>12</v>
      </c>
    </row>
    <row r="54" spans="1:8" x14ac:dyDescent="0.8">
      <c r="A54" s="35"/>
      <c r="B54" s="35"/>
      <c r="C54" s="35"/>
      <c r="D54" s="12" t="s">
        <v>106</v>
      </c>
      <c r="E54" s="11">
        <f>SUMIF(D4:D49,"กลุ่มวิชาสุขภาพ",E4:E49)</f>
        <v>0</v>
      </c>
      <c r="F54" s="11">
        <v>3</v>
      </c>
    </row>
    <row r="55" spans="1:8" x14ac:dyDescent="0.8">
      <c r="A55" s="35"/>
      <c r="B55" s="35"/>
      <c r="C55" s="35"/>
      <c r="D55" s="12" t="s">
        <v>107</v>
      </c>
      <c r="E55" s="11">
        <f>SUMIF(D4:D49,"กลุ่มวิชาบูรณาการ",E4:E49)</f>
        <v>0</v>
      </c>
      <c r="F55" s="11">
        <v>9</v>
      </c>
    </row>
    <row r="56" spans="1:8" x14ac:dyDescent="0.8">
      <c r="A56" s="35"/>
      <c r="B56" s="35"/>
      <c r="C56" s="36" t="s">
        <v>108</v>
      </c>
      <c r="D56" s="12" t="s">
        <v>109</v>
      </c>
      <c r="E56" s="11">
        <f>SUMIF(D4:D49,"กลุ่มวิชาสังคมศาสตร์และมนุษยศาสตร์",E4:E49)</f>
        <v>0</v>
      </c>
      <c r="F56" s="11">
        <v>3</v>
      </c>
    </row>
    <row r="57" spans="1:8" x14ac:dyDescent="0.8">
      <c r="A57" s="35"/>
      <c r="B57" s="35"/>
      <c r="C57" s="36"/>
      <c r="D57" s="12" t="s">
        <v>110</v>
      </c>
      <c r="E57" s="11">
        <f>SUMIF(D4:D49,"กลุ่มวิชาวิทยาศาสตร์และคณิตศาสตร์",E4:E49)</f>
        <v>0</v>
      </c>
      <c r="F57" s="11">
        <v>3</v>
      </c>
    </row>
    <row r="58" spans="1:8" x14ac:dyDescent="0.8">
      <c r="A58" s="37" t="s">
        <v>111</v>
      </c>
      <c r="B58" s="37"/>
      <c r="C58" s="38" t="s">
        <v>112</v>
      </c>
      <c r="D58" s="13" t="s">
        <v>15</v>
      </c>
      <c r="E58" s="14">
        <f>SUMIF(D4:D49,"กลุ่มวิชาพื้นฐานทางวิทยาศาสตร์และคณิตศาสตร์",E4:E49)</f>
        <v>13</v>
      </c>
      <c r="F58" s="14">
        <v>10</v>
      </c>
    </row>
    <row r="59" spans="1:8" x14ac:dyDescent="0.8">
      <c r="A59" s="37"/>
      <c r="B59" s="37"/>
      <c r="C59" s="38"/>
      <c r="D59" s="13" t="s">
        <v>18</v>
      </c>
      <c r="E59" s="14">
        <f>SUMIF(D4:D49,"กลุ่มวิชาพื้นฐานทางวิศวกรรมศาสตร์",E4:E49)</f>
        <v>19</v>
      </c>
      <c r="F59" s="14">
        <v>22</v>
      </c>
    </row>
    <row r="60" spans="1:8" x14ac:dyDescent="0.8">
      <c r="A60" s="37"/>
      <c r="B60" s="37"/>
      <c r="C60" s="38" t="s">
        <v>113</v>
      </c>
      <c r="D60" s="13" t="s">
        <v>41</v>
      </c>
      <c r="E60" s="14">
        <f>SUMIF(D4:D49,"กลุ่มฮาร์ดแวร์และสถาปัตยกรรมคอมพิวเตอร์",E4:E49)</f>
        <v>14</v>
      </c>
      <c r="F60" s="14">
        <v>14</v>
      </c>
    </row>
    <row r="61" spans="1:8" x14ac:dyDescent="0.8">
      <c r="A61" s="37"/>
      <c r="B61" s="37"/>
      <c r="C61" s="38"/>
      <c r="D61" s="13" t="s">
        <v>38</v>
      </c>
      <c r="E61" s="14">
        <f>SUMIF(D4:D49,"กลุ่มโครงสร้างพื้นฐานของระบบ",E4:E49)</f>
        <v>18</v>
      </c>
      <c r="F61" s="14">
        <v>18</v>
      </c>
    </row>
    <row r="62" spans="1:8" x14ac:dyDescent="0.8">
      <c r="A62" s="37"/>
      <c r="B62" s="37"/>
      <c r="C62" s="38"/>
      <c r="D62" s="13" t="s">
        <v>35</v>
      </c>
      <c r="E62" s="14">
        <f>SUMIF(D4:D49,"กลุ่มเทคโนโลยีและวิธีการทางซอฟต์แวร์",E4:E49)</f>
        <v>9</v>
      </c>
      <c r="F62" s="14">
        <v>9</v>
      </c>
    </row>
    <row r="63" spans="1:8" x14ac:dyDescent="0.8">
      <c r="A63" s="37"/>
      <c r="B63" s="37"/>
      <c r="C63" s="38"/>
      <c r="D63" s="13" t="s">
        <v>65</v>
      </c>
      <c r="E63" s="14">
        <f>SUMIF(D4:D49,"กลุ่มเทคโนโลยีเพื่องานประยุกต์",E4:E49)</f>
        <v>3</v>
      </c>
      <c r="F63" s="14">
        <v>3</v>
      </c>
    </row>
    <row r="64" spans="1:8" x14ac:dyDescent="0.8">
      <c r="A64" s="37"/>
      <c r="B64" s="37"/>
      <c r="C64" s="38"/>
      <c r="D64" s="13" t="s">
        <v>85</v>
      </c>
      <c r="E64" s="14">
        <f>SUMIF(D4:D49,"กลุ่มฝึกวิชาชีพและโครงงาน",E4:E49)</f>
        <v>11</v>
      </c>
      <c r="F64" s="14">
        <v>11</v>
      </c>
    </row>
    <row r="65" spans="1:6" x14ac:dyDescent="0.8">
      <c r="A65" s="37"/>
      <c r="B65" s="37"/>
      <c r="C65" s="38" t="s">
        <v>114</v>
      </c>
      <c r="D65" s="38"/>
      <c r="E65" s="14">
        <f>SUMIF(D4:D49,"กลุ่มวิชาภาษาและการสื่อสาร",E4:E49)</f>
        <v>0</v>
      </c>
      <c r="F65" s="14">
        <v>12</v>
      </c>
    </row>
    <row r="66" spans="1:6" x14ac:dyDescent="0.8">
      <c r="A66" s="39" t="s">
        <v>115</v>
      </c>
      <c r="B66" s="40"/>
      <c r="C66" s="40"/>
      <c r="D66" s="41"/>
      <c r="E66" s="15">
        <f>SUMIF(D4:D49,"กลุ่มวิชาภาษาและการสื่อสาร",E4:E49)</f>
        <v>0</v>
      </c>
      <c r="F66" s="15">
        <v>6</v>
      </c>
    </row>
    <row r="67" spans="1:6" x14ac:dyDescent="0.8">
      <c r="A67" s="30" t="s">
        <v>99</v>
      </c>
      <c r="B67" s="31"/>
      <c r="C67" s="31"/>
      <c r="D67" s="32"/>
      <c r="E67" s="16">
        <f>SUM(E53:E66)</f>
        <v>87</v>
      </c>
      <c r="F67" s="16">
        <f>SUM(F53:F66)</f>
        <v>135</v>
      </c>
    </row>
  </sheetData>
  <mergeCells count="13">
    <mergeCell ref="A67:D67"/>
    <mergeCell ref="A1:H1"/>
    <mergeCell ref="A2:H2"/>
    <mergeCell ref="A50:D50"/>
    <mergeCell ref="A52:D52"/>
    <mergeCell ref="A53:B57"/>
    <mergeCell ref="C53:C55"/>
    <mergeCell ref="C56:C57"/>
    <mergeCell ref="A58:B65"/>
    <mergeCell ref="C58:C59"/>
    <mergeCell ref="C60:C64"/>
    <mergeCell ref="C65:D65"/>
    <mergeCell ref="A66:D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6E0D-CA71-44F1-9177-65A3F90E8AFD}">
  <dimension ref="A1:K74"/>
  <sheetViews>
    <sheetView topLeftCell="A33" zoomScaleNormal="100" workbookViewId="0">
      <selection activeCell="J43" sqref="J43"/>
    </sheetView>
  </sheetViews>
  <sheetFormatPr defaultColWidth="8.7265625" defaultRowHeight="24" x14ac:dyDescent="0.8"/>
  <cols>
    <col min="1" max="1" width="5" style="9" customWidth="1"/>
    <col min="2" max="2" width="15" style="9" customWidth="1"/>
    <col min="3" max="3" width="50.453125" style="9" bestFit="1" customWidth="1"/>
    <col min="4" max="4" width="40.453125" style="9" bestFit="1" customWidth="1"/>
    <col min="5" max="5" width="13.7265625" style="9" bestFit="1" customWidth="1"/>
    <col min="6" max="6" width="19.453125" style="9" bestFit="1" customWidth="1"/>
    <col min="7" max="7" width="24.7265625" style="9" bestFit="1" customWidth="1"/>
    <col min="8" max="8" width="30.7265625" style="9" bestFit="1" customWidth="1"/>
    <col min="9" max="9" width="11" style="9" bestFit="1" customWidth="1"/>
    <col min="10" max="16384" width="8.7265625" style="9"/>
  </cols>
  <sheetData>
    <row r="1" spans="1:9" s="1" customFormat="1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s="1" customFormat="1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s="1" customFormat="1" x14ac:dyDescent="0.3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2" t="s">
        <v>161</v>
      </c>
    </row>
    <row r="4" spans="1:9" s="1" customFormat="1" x14ac:dyDescent="0.35">
      <c r="A4" s="3">
        <v>1</v>
      </c>
      <c r="B4" s="3" t="s">
        <v>117</v>
      </c>
      <c r="C4" s="4" t="s">
        <v>121</v>
      </c>
      <c r="D4" s="4" t="s">
        <v>107</v>
      </c>
      <c r="E4" s="3">
        <v>3</v>
      </c>
      <c r="F4" s="5" t="s">
        <v>131</v>
      </c>
      <c r="G4" s="3"/>
      <c r="H4" s="4"/>
      <c r="I4" s="33" t="s">
        <v>157</v>
      </c>
    </row>
    <row r="5" spans="1:9" s="1" customFormat="1" x14ac:dyDescent="0.35">
      <c r="A5" s="3">
        <v>2</v>
      </c>
      <c r="B5" s="3" t="s">
        <v>13</v>
      </c>
      <c r="C5" s="4" t="s">
        <v>120</v>
      </c>
      <c r="D5" s="4" t="s">
        <v>15</v>
      </c>
      <c r="E5" s="3">
        <v>3</v>
      </c>
      <c r="F5" s="5" t="s">
        <v>131</v>
      </c>
      <c r="G5" s="3"/>
      <c r="H5" s="4"/>
      <c r="I5" s="33"/>
    </row>
    <row r="6" spans="1:9" s="1" customFormat="1" x14ac:dyDescent="0.35">
      <c r="A6" s="3">
        <v>3</v>
      </c>
      <c r="B6" s="3" t="s">
        <v>16</v>
      </c>
      <c r="C6" s="4" t="s">
        <v>17</v>
      </c>
      <c r="D6" s="4" t="s">
        <v>18</v>
      </c>
      <c r="E6" s="3">
        <v>3</v>
      </c>
      <c r="F6" s="5" t="s">
        <v>131</v>
      </c>
      <c r="G6" s="3"/>
      <c r="H6" s="4"/>
      <c r="I6" s="33"/>
    </row>
    <row r="7" spans="1:9" s="1" customFormat="1" x14ac:dyDescent="0.35">
      <c r="A7" s="3">
        <v>4</v>
      </c>
      <c r="B7" s="3" t="s">
        <v>25</v>
      </c>
      <c r="C7" s="4" t="s">
        <v>26</v>
      </c>
      <c r="D7" s="4" t="s">
        <v>18</v>
      </c>
      <c r="E7" s="3">
        <v>3</v>
      </c>
      <c r="F7" s="5" t="s">
        <v>131</v>
      </c>
      <c r="G7" s="3"/>
      <c r="H7" s="4"/>
      <c r="I7" s="33"/>
    </row>
    <row r="8" spans="1:9" s="1" customFormat="1" x14ac:dyDescent="0.35">
      <c r="A8" s="3">
        <v>5</v>
      </c>
      <c r="B8" s="3" t="s">
        <v>118</v>
      </c>
      <c r="C8" s="4" t="s">
        <v>122</v>
      </c>
      <c r="D8" s="4" t="s">
        <v>105</v>
      </c>
      <c r="E8" s="3">
        <v>3</v>
      </c>
      <c r="F8" s="5" t="s">
        <v>131</v>
      </c>
      <c r="G8" s="3"/>
      <c r="H8" s="4"/>
      <c r="I8" s="33"/>
    </row>
    <row r="9" spans="1:9" s="1" customFormat="1" x14ac:dyDescent="0.35">
      <c r="A9" s="3">
        <v>6</v>
      </c>
      <c r="B9" s="3" t="s">
        <v>19</v>
      </c>
      <c r="C9" s="4" t="s">
        <v>20</v>
      </c>
      <c r="D9" s="4" t="s">
        <v>18</v>
      </c>
      <c r="E9" s="3">
        <v>3</v>
      </c>
      <c r="F9" s="5" t="s">
        <v>131</v>
      </c>
      <c r="G9" s="3"/>
      <c r="H9" s="4"/>
      <c r="I9" s="33"/>
    </row>
    <row r="10" spans="1:9" s="1" customFormat="1" x14ac:dyDescent="0.35">
      <c r="A10" s="3">
        <v>7</v>
      </c>
      <c r="B10" s="3" t="s">
        <v>42</v>
      </c>
      <c r="C10" s="4" t="s">
        <v>43</v>
      </c>
      <c r="D10" s="4" t="s">
        <v>18</v>
      </c>
      <c r="E10" s="3">
        <v>3</v>
      </c>
      <c r="F10" s="5" t="s">
        <v>131</v>
      </c>
      <c r="G10" s="3"/>
      <c r="H10" s="4"/>
      <c r="I10" s="33"/>
    </row>
    <row r="11" spans="1:9" s="1" customFormat="1" x14ac:dyDescent="0.35">
      <c r="A11" s="42" t="s">
        <v>123</v>
      </c>
      <c r="B11" s="43"/>
      <c r="C11" s="43"/>
      <c r="D11" s="44"/>
      <c r="E11" s="17">
        <f>SUM(E4:E10)</f>
        <v>21</v>
      </c>
      <c r="F11" s="23"/>
      <c r="G11" s="22"/>
      <c r="H11" s="24"/>
    </row>
    <row r="12" spans="1:9" s="1" customFormat="1" x14ac:dyDescent="0.35">
      <c r="A12" s="3">
        <v>8</v>
      </c>
      <c r="B12" s="3" t="s">
        <v>29</v>
      </c>
      <c r="C12" s="4" t="s">
        <v>30</v>
      </c>
      <c r="D12" s="4" t="s">
        <v>15</v>
      </c>
      <c r="E12" s="3">
        <v>3</v>
      </c>
      <c r="F12" s="5" t="s">
        <v>132</v>
      </c>
      <c r="G12" s="3" t="s">
        <v>13</v>
      </c>
      <c r="H12" s="4"/>
      <c r="I12" s="33" t="s">
        <v>158</v>
      </c>
    </row>
    <row r="13" spans="1:9" s="1" customFormat="1" x14ac:dyDescent="0.35">
      <c r="A13" s="3">
        <v>9</v>
      </c>
      <c r="B13" s="3" t="s">
        <v>124</v>
      </c>
      <c r="C13" s="4" t="s">
        <v>126</v>
      </c>
      <c r="D13" s="4" t="s">
        <v>106</v>
      </c>
      <c r="E13" s="3">
        <v>3</v>
      </c>
      <c r="F13" s="5" t="s">
        <v>132</v>
      </c>
      <c r="G13" s="3"/>
      <c r="H13" s="4"/>
      <c r="I13" s="33"/>
    </row>
    <row r="14" spans="1:9" s="1" customFormat="1" x14ac:dyDescent="0.35">
      <c r="A14" s="3">
        <v>10</v>
      </c>
      <c r="B14" s="3" t="s">
        <v>125</v>
      </c>
      <c r="C14" s="4" t="s">
        <v>127</v>
      </c>
      <c r="D14" s="4" t="s">
        <v>105</v>
      </c>
      <c r="E14" s="3">
        <v>3</v>
      </c>
      <c r="F14" s="5" t="s">
        <v>132</v>
      </c>
      <c r="G14" s="3"/>
      <c r="H14" s="4"/>
      <c r="I14" s="33"/>
    </row>
    <row r="15" spans="1:9" s="1" customFormat="1" x14ac:dyDescent="0.35">
      <c r="A15" s="3">
        <v>11</v>
      </c>
      <c r="B15" s="3" t="s">
        <v>116</v>
      </c>
      <c r="C15" s="4" t="s">
        <v>119</v>
      </c>
      <c r="D15" s="4" t="s">
        <v>114</v>
      </c>
      <c r="E15" s="3">
        <v>3</v>
      </c>
      <c r="F15" s="5" t="s">
        <v>132</v>
      </c>
      <c r="G15" s="3"/>
      <c r="H15" s="4"/>
      <c r="I15" s="33"/>
    </row>
    <row r="16" spans="1:9" s="1" customFormat="1" x14ac:dyDescent="0.35">
      <c r="A16" s="3">
        <v>12</v>
      </c>
      <c r="B16" s="3" t="s">
        <v>33</v>
      </c>
      <c r="C16" s="4" t="s">
        <v>34</v>
      </c>
      <c r="D16" s="4" t="s">
        <v>35</v>
      </c>
      <c r="E16" s="3">
        <v>3</v>
      </c>
      <c r="F16" s="5" t="s">
        <v>132</v>
      </c>
      <c r="G16" s="3" t="s">
        <v>19</v>
      </c>
      <c r="H16" s="4"/>
      <c r="I16" s="33"/>
    </row>
    <row r="17" spans="1:9" s="1" customFormat="1" x14ac:dyDescent="0.35">
      <c r="A17" s="3">
        <v>13</v>
      </c>
      <c r="B17" s="3" t="s">
        <v>36</v>
      </c>
      <c r="C17" s="4" t="s">
        <v>37</v>
      </c>
      <c r="D17" s="4" t="s">
        <v>38</v>
      </c>
      <c r="E17" s="3">
        <v>3</v>
      </c>
      <c r="F17" s="5" t="s">
        <v>132</v>
      </c>
      <c r="G17" s="3"/>
      <c r="H17" s="4"/>
      <c r="I17" s="33"/>
    </row>
    <row r="18" spans="1:9" s="1" customFormat="1" x14ac:dyDescent="0.35">
      <c r="A18" s="3">
        <v>14</v>
      </c>
      <c r="B18" s="3" t="s">
        <v>39</v>
      </c>
      <c r="C18" s="4" t="s">
        <v>40</v>
      </c>
      <c r="D18" s="4" t="s">
        <v>41</v>
      </c>
      <c r="E18" s="3">
        <v>2</v>
      </c>
      <c r="F18" s="5" t="s">
        <v>132</v>
      </c>
      <c r="G18" s="3"/>
      <c r="H18" s="4"/>
      <c r="I18" s="33"/>
    </row>
    <row r="19" spans="1:9" s="1" customFormat="1" x14ac:dyDescent="0.35">
      <c r="A19" s="42" t="s">
        <v>123</v>
      </c>
      <c r="B19" s="43"/>
      <c r="C19" s="43"/>
      <c r="D19" s="44"/>
      <c r="E19" s="17">
        <f>SUM(E12:E18)</f>
        <v>20</v>
      </c>
      <c r="F19" s="23"/>
      <c r="G19" s="22"/>
      <c r="H19" s="24"/>
    </row>
    <row r="20" spans="1:9" s="1" customFormat="1" x14ac:dyDescent="0.35">
      <c r="A20" s="3">
        <v>15</v>
      </c>
      <c r="B20" s="3" t="s">
        <v>45</v>
      </c>
      <c r="C20" s="4" t="s">
        <v>46</v>
      </c>
      <c r="D20" s="4" t="s">
        <v>18</v>
      </c>
      <c r="E20" s="3">
        <v>3</v>
      </c>
      <c r="F20" s="5" t="s">
        <v>135</v>
      </c>
      <c r="G20" s="3" t="s">
        <v>13</v>
      </c>
      <c r="H20" s="4"/>
      <c r="I20" s="33" t="s">
        <v>159</v>
      </c>
    </row>
    <row r="21" spans="1:9" s="1" customFormat="1" x14ac:dyDescent="0.35">
      <c r="A21" s="3">
        <v>16</v>
      </c>
      <c r="B21" s="3" t="s">
        <v>66</v>
      </c>
      <c r="C21" s="4" t="s">
        <v>67</v>
      </c>
      <c r="D21" s="4" t="s">
        <v>41</v>
      </c>
      <c r="E21" s="3">
        <v>3</v>
      </c>
      <c r="F21" s="5" t="s">
        <v>135</v>
      </c>
      <c r="G21" s="3" t="s">
        <v>42</v>
      </c>
      <c r="H21" s="4"/>
      <c r="I21" s="33"/>
    </row>
    <row r="22" spans="1:9" s="1" customFormat="1" x14ac:dyDescent="0.35">
      <c r="A22" s="3">
        <v>17</v>
      </c>
      <c r="B22" s="3" t="s">
        <v>55</v>
      </c>
      <c r="C22" s="4" t="s">
        <v>56</v>
      </c>
      <c r="D22" s="4" t="s">
        <v>38</v>
      </c>
      <c r="E22" s="3">
        <v>3</v>
      </c>
      <c r="F22" s="5" t="s">
        <v>135</v>
      </c>
      <c r="G22" s="3" t="s">
        <v>33</v>
      </c>
      <c r="H22" s="4"/>
      <c r="I22" s="33"/>
    </row>
    <row r="23" spans="1:9" s="1" customFormat="1" x14ac:dyDescent="0.35">
      <c r="A23" s="3">
        <v>18</v>
      </c>
      <c r="B23" s="3" t="s">
        <v>53</v>
      </c>
      <c r="C23" s="4" t="s">
        <v>54</v>
      </c>
      <c r="D23" s="4" t="s">
        <v>41</v>
      </c>
      <c r="E23" s="3">
        <v>3</v>
      </c>
      <c r="F23" s="5" t="s">
        <v>135</v>
      </c>
      <c r="G23" s="3" t="s">
        <v>42</v>
      </c>
      <c r="H23" s="4"/>
      <c r="I23" s="33"/>
    </row>
    <row r="24" spans="1:9" s="1" customFormat="1" x14ac:dyDescent="0.35">
      <c r="A24" s="3">
        <v>19</v>
      </c>
      <c r="B24" s="3" t="s">
        <v>133</v>
      </c>
      <c r="C24" s="4" t="s">
        <v>134</v>
      </c>
      <c r="D24" s="4" t="s">
        <v>105</v>
      </c>
      <c r="E24" s="3">
        <v>3</v>
      </c>
      <c r="F24" s="5" t="s">
        <v>135</v>
      </c>
      <c r="G24" s="3"/>
      <c r="H24" s="4"/>
      <c r="I24" s="33"/>
    </row>
    <row r="25" spans="1:9" s="1" customFormat="1" x14ac:dyDescent="0.35">
      <c r="A25" s="3">
        <v>20</v>
      </c>
      <c r="B25" s="3" t="s">
        <v>51</v>
      </c>
      <c r="C25" s="4" t="s">
        <v>52</v>
      </c>
      <c r="D25" s="4" t="s">
        <v>38</v>
      </c>
      <c r="E25" s="3">
        <v>3</v>
      </c>
      <c r="F25" s="5" t="s">
        <v>135</v>
      </c>
      <c r="G25" s="3"/>
      <c r="H25" s="4"/>
      <c r="I25" s="33"/>
    </row>
    <row r="26" spans="1:9" s="1" customFormat="1" x14ac:dyDescent="0.35">
      <c r="A26" s="3">
        <v>21</v>
      </c>
      <c r="B26" s="3" t="s">
        <v>73</v>
      </c>
      <c r="C26" s="4" t="s">
        <v>74</v>
      </c>
      <c r="D26" s="4" t="s">
        <v>35</v>
      </c>
      <c r="E26" s="3">
        <v>3</v>
      </c>
      <c r="F26" s="5" t="s">
        <v>135</v>
      </c>
      <c r="G26" s="3"/>
      <c r="H26" s="4"/>
      <c r="I26" s="33"/>
    </row>
    <row r="27" spans="1:9" s="1" customFormat="1" x14ac:dyDescent="0.35">
      <c r="A27" s="42" t="s">
        <v>123</v>
      </c>
      <c r="B27" s="43"/>
      <c r="C27" s="43"/>
      <c r="D27" s="44"/>
      <c r="E27" s="17">
        <f>SUM(E20:E26)</f>
        <v>21</v>
      </c>
      <c r="F27" s="23"/>
      <c r="G27" s="22"/>
      <c r="H27" s="24"/>
    </row>
    <row r="28" spans="1:9" s="1" customFormat="1" x14ac:dyDescent="0.35">
      <c r="A28" s="3">
        <v>22</v>
      </c>
      <c r="B28" s="3" t="s">
        <v>61</v>
      </c>
      <c r="C28" s="4" t="s">
        <v>62</v>
      </c>
      <c r="D28" s="4" t="s">
        <v>38</v>
      </c>
      <c r="E28" s="3">
        <v>3</v>
      </c>
      <c r="F28" s="5" t="s">
        <v>136</v>
      </c>
      <c r="G28" s="3" t="s">
        <v>55</v>
      </c>
      <c r="H28" s="4" t="s">
        <v>141</v>
      </c>
      <c r="I28" s="33" t="s">
        <v>160</v>
      </c>
    </row>
    <row r="29" spans="1:9" s="1" customFormat="1" x14ac:dyDescent="0.35">
      <c r="A29" s="3">
        <v>23</v>
      </c>
      <c r="B29" s="3" t="s">
        <v>63</v>
      </c>
      <c r="C29" s="4" t="s">
        <v>64</v>
      </c>
      <c r="D29" s="4" t="s">
        <v>65</v>
      </c>
      <c r="E29" s="3">
        <v>3</v>
      </c>
      <c r="F29" s="5" t="s">
        <v>136</v>
      </c>
      <c r="G29" s="3" t="s">
        <v>33</v>
      </c>
      <c r="H29" s="4" t="s">
        <v>142</v>
      </c>
      <c r="I29" s="33"/>
    </row>
    <row r="30" spans="1:9" s="1" customFormat="1" x14ac:dyDescent="0.35">
      <c r="A30" s="3">
        <v>24</v>
      </c>
      <c r="B30" s="3" t="s">
        <v>137</v>
      </c>
      <c r="C30" s="4" t="s">
        <v>139</v>
      </c>
      <c r="D30" s="4" t="s">
        <v>107</v>
      </c>
      <c r="E30" s="3">
        <v>3</v>
      </c>
      <c r="F30" s="5" t="s">
        <v>136</v>
      </c>
      <c r="G30" s="3"/>
      <c r="H30" s="4" t="s">
        <v>143</v>
      </c>
      <c r="I30" s="33"/>
    </row>
    <row r="31" spans="1:9" s="1" customFormat="1" x14ac:dyDescent="0.35">
      <c r="A31" s="3">
        <v>25</v>
      </c>
      <c r="B31" s="3" t="s">
        <v>21</v>
      </c>
      <c r="C31" s="4" t="s">
        <v>22</v>
      </c>
      <c r="D31" s="4" t="s">
        <v>18</v>
      </c>
      <c r="E31" s="3">
        <v>1</v>
      </c>
      <c r="F31" s="5" t="s">
        <v>136</v>
      </c>
      <c r="G31" s="3"/>
      <c r="H31" s="4" t="s">
        <v>144</v>
      </c>
      <c r="I31" s="33"/>
    </row>
    <row r="32" spans="1:9" s="1" customFormat="1" x14ac:dyDescent="0.35">
      <c r="A32" s="3">
        <v>26</v>
      </c>
      <c r="B32" s="3" t="s">
        <v>59</v>
      </c>
      <c r="C32" s="4" t="s">
        <v>60</v>
      </c>
      <c r="D32" s="4" t="s">
        <v>41</v>
      </c>
      <c r="E32" s="3">
        <v>3</v>
      </c>
      <c r="F32" s="5" t="s">
        <v>136</v>
      </c>
      <c r="G32" s="3" t="s">
        <v>42</v>
      </c>
      <c r="H32" s="4" t="s">
        <v>145</v>
      </c>
      <c r="I32" s="33"/>
    </row>
    <row r="33" spans="1:9" s="1" customFormat="1" x14ac:dyDescent="0.35">
      <c r="A33" s="3">
        <v>27</v>
      </c>
      <c r="B33" s="3" t="s">
        <v>23</v>
      </c>
      <c r="C33" s="4" t="s">
        <v>24</v>
      </c>
      <c r="D33" s="4" t="s">
        <v>18</v>
      </c>
      <c r="E33" s="3">
        <v>3</v>
      </c>
      <c r="F33" s="5" t="s">
        <v>136</v>
      </c>
      <c r="G33" s="3"/>
      <c r="H33" s="4" t="s">
        <v>146</v>
      </c>
      <c r="I33" s="33"/>
    </row>
    <row r="34" spans="1:9" s="1" customFormat="1" x14ac:dyDescent="0.35">
      <c r="A34" s="3">
        <v>28</v>
      </c>
      <c r="B34" s="3" t="s">
        <v>138</v>
      </c>
      <c r="C34" s="4" t="s">
        <v>140</v>
      </c>
      <c r="D34" s="4" t="s">
        <v>107</v>
      </c>
      <c r="E34" s="3">
        <v>3</v>
      </c>
      <c r="F34" s="5" t="s">
        <v>136</v>
      </c>
      <c r="G34" s="3"/>
      <c r="H34" s="4" t="s">
        <v>147</v>
      </c>
      <c r="I34" s="33"/>
    </row>
    <row r="35" spans="1:9" s="1" customFormat="1" x14ac:dyDescent="0.35">
      <c r="A35" s="3">
        <v>29</v>
      </c>
      <c r="B35" s="3" t="s">
        <v>68</v>
      </c>
      <c r="C35" s="4" t="s">
        <v>69</v>
      </c>
      <c r="D35" s="4" t="s">
        <v>38</v>
      </c>
      <c r="E35" s="3">
        <v>3</v>
      </c>
      <c r="F35" s="5" t="s">
        <v>136</v>
      </c>
      <c r="G35" s="25" t="s">
        <v>149</v>
      </c>
      <c r="H35" s="4" t="s">
        <v>148</v>
      </c>
      <c r="I35" s="33"/>
    </row>
    <row r="36" spans="1:9" s="1" customFormat="1" x14ac:dyDescent="0.35">
      <c r="A36" s="45" t="s">
        <v>123</v>
      </c>
      <c r="B36" s="46"/>
      <c r="C36" s="46"/>
      <c r="D36" s="47"/>
      <c r="E36" s="20">
        <f>SUM(E28:E35)</f>
        <v>22</v>
      </c>
      <c r="F36" s="23"/>
      <c r="G36" s="22"/>
      <c r="H36" s="24"/>
    </row>
    <row r="37" spans="1:9" s="1" customFormat="1" x14ac:dyDescent="0.35">
      <c r="A37" s="17"/>
      <c r="B37" s="17" t="s">
        <v>47</v>
      </c>
      <c r="C37" s="18" t="s">
        <v>48</v>
      </c>
      <c r="D37" s="18" t="s">
        <v>18</v>
      </c>
      <c r="E37" s="17">
        <v>3</v>
      </c>
      <c r="F37" s="19"/>
      <c r="G37" s="17" t="s">
        <v>13</v>
      </c>
      <c r="H37" s="18"/>
      <c r="I37" s="49" t="s">
        <v>163</v>
      </c>
    </row>
    <row r="38" spans="1:9" s="1" customFormat="1" x14ac:dyDescent="0.35">
      <c r="A38" s="17"/>
      <c r="B38" s="17" t="s">
        <v>49</v>
      </c>
      <c r="C38" s="18" t="s">
        <v>50</v>
      </c>
      <c r="D38" s="18" t="s">
        <v>38</v>
      </c>
      <c r="E38" s="17">
        <v>3</v>
      </c>
      <c r="F38" s="19"/>
      <c r="G38" s="17" t="s">
        <v>42</v>
      </c>
      <c r="H38" s="18"/>
      <c r="I38" s="50"/>
    </row>
    <row r="39" spans="1:9" s="1" customFormat="1" x14ac:dyDescent="0.35">
      <c r="A39" s="17"/>
      <c r="B39" s="17" t="s">
        <v>75</v>
      </c>
      <c r="C39" s="18" t="s">
        <v>76</v>
      </c>
      <c r="D39" s="18" t="s">
        <v>41</v>
      </c>
      <c r="E39" s="17">
        <v>3</v>
      </c>
      <c r="F39" s="19"/>
      <c r="G39" s="17" t="s">
        <v>59</v>
      </c>
      <c r="H39" s="18"/>
      <c r="I39" s="50"/>
    </row>
    <row r="40" spans="1:9" s="1" customFormat="1" x14ac:dyDescent="0.35">
      <c r="A40" s="17"/>
      <c r="B40" s="17" t="s">
        <v>77</v>
      </c>
      <c r="C40" s="18" t="s">
        <v>78</v>
      </c>
      <c r="D40" s="18" t="s">
        <v>35</v>
      </c>
      <c r="E40" s="17">
        <v>3</v>
      </c>
      <c r="F40" s="19"/>
      <c r="G40" s="17" t="s">
        <v>63</v>
      </c>
      <c r="H40" s="18"/>
      <c r="I40" s="50"/>
    </row>
    <row r="41" spans="1:9" s="1" customFormat="1" x14ac:dyDescent="0.35">
      <c r="A41" s="17"/>
      <c r="B41" s="17" t="s">
        <v>155</v>
      </c>
      <c r="C41" s="18" t="s">
        <v>156</v>
      </c>
      <c r="D41" s="18" t="s">
        <v>114</v>
      </c>
      <c r="E41" s="17">
        <v>3</v>
      </c>
      <c r="F41" s="19"/>
      <c r="G41" s="17" t="s">
        <v>63</v>
      </c>
      <c r="H41" s="17"/>
      <c r="I41" s="50"/>
    </row>
    <row r="42" spans="1:9" s="1" customFormat="1" x14ac:dyDescent="0.35">
      <c r="A42" s="17"/>
      <c r="B42" s="17" t="s">
        <v>150</v>
      </c>
      <c r="C42" s="18" t="s">
        <v>151</v>
      </c>
      <c r="D42" s="18" t="s">
        <v>114</v>
      </c>
      <c r="E42" s="17">
        <v>3</v>
      </c>
      <c r="F42" s="19"/>
      <c r="G42" s="17" t="s">
        <v>152</v>
      </c>
      <c r="H42" s="17"/>
      <c r="I42" s="50"/>
    </row>
    <row r="43" spans="1:9" s="1" customFormat="1" x14ac:dyDescent="0.35">
      <c r="A43" s="17"/>
      <c r="B43" s="29" t="s">
        <v>133</v>
      </c>
      <c r="C43" s="18" t="s">
        <v>134</v>
      </c>
      <c r="D43" s="18" t="s">
        <v>105</v>
      </c>
      <c r="E43" s="29">
        <v>3</v>
      </c>
      <c r="F43" s="19"/>
      <c r="G43" s="17"/>
      <c r="H43" s="18"/>
      <c r="I43" s="34"/>
    </row>
    <row r="44" spans="1:9" s="1" customFormat="1" x14ac:dyDescent="0.35">
      <c r="A44" s="45" t="s">
        <v>123</v>
      </c>
      <c r="B44" s="46"/>
      <c r="C44" s="46"/>
      <c r="D44" s="47"/>
      <c r="E44" s="20">
        <f>SUM(E37:E43)</f>
        <v>21</v>
      </c>
      <c r="F44" s="23"/>
      <c r="G44" s="22"/>
      <c r="H44" s="24"/>
    </row>
    <row r="45" spans="1:9" s="1" customFormat="1" x14ac:dyDescent="0.35">
      <c r="A45" s="17"/>
      <c r="B45" s="17" t="s">
        <v>31</v>
      </c>
      <c r="C45" s="18" t="s">
        <v>32</v>
      </c>
      <c r="D45" s="18" t="s">
        <v>15</v>
      </c>
      <c r="E45" s="17">
        <v>4</v>
      </c>
      <c r="F45" s="19"/>
      <c r="G45" s="17"/>
      <c r="H45" s="18"/>
      <c r="I45" s="49" t="s">
        <v>166</v>
      </c>
    </row>
    <row r="46" spans="1:9" s="1" customFormat="1" x14ac:dyDescent="0.35">
      <c r="A46" s="17"/>
      <c r="B46" s="17" t="s">
        <v>83</v>
      </c>
      <c r="C46" s="18" t="s">
        <v>84</v>
      </c>
      <c r="D46" s="18" t="s">
        <v>85</v>
      </c>
      <c r="E46" s="17">
        <v>1</v>
      </c>
      <c r="F46" s="19"/>
      <c r="G46" s="17"/>
      <c r="H46" s="18"/>
      <c r="I46" s="50"/>
    </row>
    <row r="47" spans="1:9" s="1" customFormat="1" x14ac:dyDescent="0.35">
      <c r="A47" s="17"/>
      <c r="B47" s="17" t="s">
        <v>86</v>
      </c>
      <c r="C47" s="18" t="s">
        <v>87</v>
      </c>
      <c r="D47" s="18" t="s">
        <v>85</v>
      </c>
      <c r="E47" s="17">
        <v>1</v>
      </c>
      <c r="F47" s="19"/>
      <c r="G47" s="17"/>
      <c r="H47" s="17"/>
      <c r="I47" s="50"/>
    </row>
    <row r="48" spans="1:9" s="1" customFormat="1" x14ac:dyDescent="0.35">
      <c r="A48" s="17"/>
      <c r="B48" s="17" t="s">
        <v>153</v>
      </c>
      <c r="C48" s="18" t="s">
        <v>154</v>
      </c>
      <c r="D48" s="18" t="s">
        <v>114</v>
      </c>
      <c r="E48" s="17">
        <v>3</v>
      </c>
      <c r="F48" s="19"/>
      <c r="G48" s="17" t="s">
        <v>68</v>
      </c>
      <c r="H48" s="17"/>
      <c r="I48" s="50"/>
    </row>
    <row r="49" spans="1:11" s="1" customFormat="1" x14ac:dyDescent="0.35">
      <c r="A49" s="17"/>
      <c r="B49" s="52" t="s">
        <v>168</v>
      </c>
      <c r="C49" s="53" t="s">
        <v>169</v>
      </c>
      <c r="D49" s="53" t="s">
        <v>110</v>
      </c>
      <c r="E49" s="52">
        <v>3</v>
      </c>
      <c r="F49" s="54"/>
      <c r="G49" s="52"/>
      <c r="H49" s="53"/>
      <c r="I49" s="50"/>
    </row>
    <row r="50" spans="1:11" s="1" customFormat="1" x14ac:dyDescent="0.35">
      <c r="A50" s="17"/>
      <c r="B50" s="52" t="s">
        <v>167</v>
      </c>
      <c r="C50" s="53" t="s">
        <v>170</v>
      </c>
      <c r="D50" s="53" t="s">
        <v>109</v>
      </c>
      <c r="E50" s="52">
        <v>3</v>
      </c>
      <c r="F50" s="54"/>
      <c r="G50" s="52"/>
      <c r="H50" s="53"/>
      <c r="I50" s="50"/>
    </row>
    <row r="51" spans="1:11" s="1" customFormat="1" x14ac:dyDescent="0.35">
      <c r="A51" s="17"/>
      <c r="B51" s="17" t="s">
        <v>10</v>
      </c>
      <c r="C51" s="18"/>
      <c r="D51" s="18" t="s">
        <v>115</v>
      </c>
      <c r="E51" s="17">
        <v>3</v>
      </c>
      <c r="F51" s="19"/>
      <c r="G51" s="17"/>
      <c r="H51" s="17"/>
      <c r="I51" s="50"/>
    </row>
    <row r="52" spans="1:11" s="1" customFormat="1" x14ac:dyDescent="0.35">
      <c r="A52" s="17"/>
      <c r="B52" s="17" t="s">
        <v>10</v>
      </c>
      <c r="C52" s="18"/>
      <c r="D52" s="18" t="s">
        <v>115</v>
      </c>
      <c r="E52" s="17">
        <v>3</v>
      </c>
      <c r="F52" s="19"/>
      <c r="G52" s="17"/>
      <c r="H52" s="17"/>
      <c r="I52" s="34"/>
    </row>
    <row r="53" spans="1:11" s="1" customFormat="1" x14ac:dyDescent="0.35">
      <c r="A53" s="45" t="s">
        <v>123</v>
      </c>
      <c r="B53" s="46"/>
      <c r="C53" s="46"/>
      <c r="D53" s="47"/>
      <c r="E53" s="20">
        <f>SUM(E45:E52)</f>
        <v>21</v>
      </c>
      <c r="F53" s="23"/>
      <c r="G53" s="22"/>
      <c r="H53" s="24"/>
    </row>
    <row r="54" spans="1:11" s="1" customFormat="1" x14ac:dyDescent="0.35">
      <c r="A54" s="17"/>
      <c r="B54" s="17" t="s">
        <v>92</v>
      </c>
      <c r="C54" s="18" t="s">
        <v>93</v>
      </c>
      <c r="D54" s="18" t="s">
        <v>85</v>
      </c>
      <c r="E54" s="17">
        <v>6</v>
      </c>
      <c r="F54" s="19"/>
      <c r="G54" s="17" t="s">
        <v>83</v>
      </c>
      <c r="H54" s="18"/>
      <c r="I54" s="2" t="s">
        <v>165</v>
      </c>
    </row>
    <row r="55" spans="1:11" s="1" customFormat="1" x14ac:dyDescent="0.35">
      <c r="A55" s="45" t="s">
        <v>123</v>
      </c>
      <c r="B55" s="46"/>
      <c r="C55" s="46"/>
      <c r="D55" s="47"/>
      <c r="E55" s="20">
        <f>SUM(E54)</f>
        <v>6</v>
      </c>
      <c r="F55" s="23"/>
      <c r="G55" s="22"/>
      <c r="H55" s="24"/>
    </row>
    <row r="56" spans="1:11" s="1" customFormat="1" x14ac:dyDescent="0.35">
      <c r="A56" s="17"/>
      <c r="B56" s="17" t="s">
        <v>96</v>
      </c>
      <c r="C56" s="18" t="s">
        <v>97</v>
      </c>
      <c r="D56" s="18" t="s">
        <v>85</v>
      </c>
      <c r="E56" s="17">
        <v>3</v>
      </c>
      <c r="F56" s="19"/>
      <c r="G56" s="17" t="s">
        <v>86</v>
      </c>
      <c r="H56" s="17"/>
      <c r="I56" s="2" t="s">
        <v>164</v>
      </c>
    </row>
    <row r="57" spans="1:11" s="1" customFormat="1" x14ac:dyDescent="0.35">
      <c r="A57" s="48" t="s">
        <v>123</v>
      </c>
      <c r="B57" s="48"/>
      <c r="C57" s="48"/>
      <c r="D57" s="48"/>
      <c r="E57" s="17">
        <f>SUM(E56)</f>
        <v>3</v>
      </c>
      <c r="F57" s="23"/>
      <c r="G57" s="22"/>
      <c r="H57" s="24"/>
    </row>
    <row r="59" spans="1:11" x14ac:dyDescent="0.8">
      <c r="A59" s="33" t="s">
        <v>100</v>
      </c>
      <c r="B59" s="33"/>
      <c r="C59" s="33"/>
      <c r="D59" s="33"/>
      <c r="E59" s="2" t="s">
        <v>101</v>
      </c>
      <c r="F59" s="7" t="s">
        <v>102</v>
      </c>
    </row>
    <row r="60" spans="1:11" x14ac:dyDescent="0.8">
      <c r="A60" s="35" t="s">
        <v>103</v>
      </c>
      <c r="B60" s="35"/>
      <c r="C60" s="35" t="s">
        <v>104</v>
      </c>
      <c r="D60" s="10" t="s">
        <v>105</v>
      </c>
      <c r="E60" s="11">
        <f>SUMIF(D3:D56,"กลุ่มวิชาภาษาและการสื่อสาร",E3:E56)</f>
        <v>12</v>
      </c>
      <c r="F60" s="11">
        <v>12</v>
      </c>
      <c r="H60" s="22"/>
      <c r="I60" s="24"/>
      <c r="J60" s="24"/>
      <c r="K60" s="22"/>
    </row>
    <row r="61" spans="1:11" x14ac:dyDescent="0.8">
      <c r="A61" s="35"/>
      <c r="B61" s="35"/>
      <c r="C61" s="35"/>
      <c r="D61" s="12" t="s">
        <v>106</v>
      </c>
      <c r="E61" s="11">
        <f>SUMIF(D3:D56,"กลุ่มวิชาสุขภาพ",E3:E56)</f>
        <v>3</v>
      </c>
      <c r="F61" s="11">
        <v>3</v>
      </c>
    </row>
    <row r="62" spans="1:11" x14ac:dyDescent="0.8">
      <c r="A62" s="35"/>
      <c r="B62" s="35"/>
      <c r="C62" s="35"/>
      <c r="D62" s="12" t="s">
        <v>107</v>
      </c>
      <c r="E62" s="11">
        <f>SUMIF(D3:D56,"กลุ่มวิชาบูรณาการ",E3:E56)</f>
        <v>9</v>
      </c>
      <c r="F62" s="11">
        <v>9</v>
      </c>
    </row>
    <row r="63" spans="1:11" x14ac:dyDescent="0.8">
      <c r="A63" s="35"/>
      <c r="B63" s="35"/>
      <c r="C63" s="36" t="s">
        <v>108</v>
      </c>
      <c r="D63" s="12" t="s">
        <v>109</v>
      </c>
      <c r="E63" s="11">
        <f>SUMIF(D3:D56,"กลุ่มวิชาสังคมศาสตร์และมนุษยศาสตร์",E3:E56)</f>
        <v>3</v>
      </c>
      <c r="F63" s="11">
        <v>3</v>
      </c>
    </row>
    <row r="64" spans="1:11" x14ac:dyDescent="0.8">
      <c r="A64" s="35"/>
      <c r="B64" s="35"/>
      <c r="C64" s="36"/>
      <c r="D64" s="12" t="s">
        <v>110</v>
      </c>
      <c r="E64" s="11">
        <f>SUMIF(D3:D56,"กลุ่มวิชาวิทยาศาสตร์และคณิตศาสตร์",E3:E56)</f>
        <v>3</v>
      </c>
      <c r="F64" s="11">
        <v>3</v>
      </c>
    </row>
    <row r="65" spans="1:6" x14ac:dyDescent="0.8">
      <c r="A65" s="37" t="s">
        <v>111</v>
      </c>
      <c r="B65" s="37"/>
      <c r="C65" s="38" t="s">
        <v>130</v>
      </c>
      <c r="D65" s="13" t="s">
        <v>15</v>
      </c>
      <c r="E65" s="14">
        <f>SUMIF(D3:D56,"กลุ่มวิชาพื้นฐานทางวิทยาศาสตร์และคณิตศาสตร์",E3:E56)</f>
        <v>10</v>
      </c>
      <c r="F65" s="14">
        <v>10</v>
      </c>
    </row>
    <row r="66" spans="1:6" x14ac:dyDescent="0.8">
      <c r="A66" s="37"/>
      <c r="B66" s="37"/>
      <c r="C66" s="38"/>
      <c r="D66" s="13" t="s">
        <v>18</v>
      </c>
      <c r="E66" s="14">
        <f>SUMIF(D3:D56,"กลุ่มวิชาพื้นฐานทางวิศวกรรมศาสตร์",E3:E56)</f>
        <v>22</v>
      </c>
      <c r="F66" s="14">
        <v>22</v>
      </c>
    </row>
    <row r="67" spans="1:6" x14ac:dyDescent="0.8">
      <c r="A67" s="37"/>
      <c r="B67" s="37"/>
      <c r="C67" s="38" t="s">
        <v>113</v>
      </c>
      <c r="D67" s="13" t="s">
        <v>41</v>
      </c>
      <c r="E67" s="14">
        <f>SUMIF(D3:D56,"กลุ่มฮาร์ดแวร์และสถาปัตยกรรมคอมพิวเตอร์",E3:E56)</f>
        <v>14</v>
      </c>
      <c r="F67" s="14">
        <v>14</v>
      </c>
    </row>
    <row r="68" spans="1:6" x14ac:dyDescent="0.8">
      <c r="A68" s="37"/>
      <c r="B68" s="37"/>
      <c r="C68" s="38"/>
      <c r="D68" s="13" t="s">
        <v>38</v>
      </c>
      <c r="E68" s="14">
        <f>SUMIF(D3:D56,"กลุ่มโครงสร้างพื้นฐานของระบบ",E3:E56)</f>
        <v>18</v>
      </c>
      <c r="F68" s="14">
        <v>18</v>
      </c>
    </row>
    <row r="69" spans="1:6" x14ac:dyDescent="0.8">
      <c r="A69" s="37"/>
      <c r="B69" s="37"/>
      <c r="C69" s="38"/>
      <c r="D69" s="13" t="s">
        <v>35</v>
      </c>
      <c r="E69" s="14">
        <f>SUMIF(D3:D56,"กลุ่มเทคโนโลยีและวิธีการทางซอฟต์แวร์",E3:E56)</f>
        <v>9</v>
      </c>
      <c r="F69" s="14">
        <v>9</v>
      </c>
    </row>
    <row r="70" spans="1:6" x14ac:dyDescent="0.8">
      <c r="A70" s="37"/>
      <c r="B70" s="37"/>
      <c r="C70" s="38"/>
      <c r="D70" s="13" t="s">
        <v>65</v>
      </c>
      <c r="E70" s="14">
        <f>SUMIF(D3:D56,"กลุ่มเทคโนโลยีเพื่องานประยุกต์",E3:E56)</f>
        <v>3</v>
      </c>
      <c r="F70" s="14">
        <v>3</v>
      </c>
    </row>
    <row r="71" spans="1:6" x14ac:dyDescent="0.8">
      <c r="A71" s="37"/>
      <c r="B71" s="37"/>
      <c r="C71" s="38"/>
      <c r="D71" s="13" t="s">
        <v>85</v>
      </c>
      <c r="E71" s="14">
        <f>SUMIF(D3:D56,"กลุ่มฝึกวิชาชีพและโครงงาน",E3:E56)</f>
        <v>11</v>
      </c>
      <c r="F71" s="14">
        <v>11</v>
      </c>
    </row>
    <row r="72" spans="1:6" x14ac:dyDescent="0.8">
      <c r="A72" s="37"/>
      <c r="B72" s="37"/>
      <c r="C72" s="38" t="s">
        <v>114</v>
      </c>
      <c r="D72" s="38"/>
      <c r="E72" s="14">
        <f>SUMIF(D3:D56,"วิชาเลือก (กลุ่มวิชาชีพเลือก)",E3:E56)</f>
        <v>12</v>
      </c>
      <c r="F72" s="14">
        <v>12</v>
      </c>
    </row>
    <row r="73" spans="1:6" x14ac:dyDescent="0.8">
      <c r="A73" s="39" t="s">
        <v>115</v>
      </c>
      <c r="B73" s="40"/>
      <c r="C73" s="40"/>
      <c r="D73" s="41"/>
      <c r="E73" s="15">
        <f>SUMIF(D3:D56,"หมวดวิชาเลือกเสรี",E3:E56)</f>
        <v>6</v>
      </c>
      <c r="F73" s="15">
        <v>6</v>
      </c>
    </row>
    <row r="74" spans="1:6" x14ac:dyDescent="0.8">
      <c r="A74" s="30" t="s">
        <v>99</v>
      </c>
      <c r="B74" s="31"/>
      <c r="C74" s="31"/>
      <c r="D74" s="32"/>
      <c r="E74" s="16">
        <f>SUM(E60:E73)</f>
        <v>135</v>
      </c>
      <c r="F74" s="16">
        <f>SUM(F60:F73)</f>
        <v>135</v>
      </c>
    </row>
  </sheetData>
  <mergeCells count="26">
    <mergeCell ref="I20:I26"/>
    <mergeCell ref="I28:I35"/>
    <mergeCell ref="A1:I1"/>
    <mergeCell ref="A2:I2"/>
    <mergeCell ref="C72:D72"/>
    <mergeCell ref="A73:D73"/>
    <mergeCell ref="A11:D11"/>
    <mergeCell ref="A19:D19"/>
    <mergeCell ref="A27:D27"/>
    <mergeCell ref="A36:D36"/>
    <mergeCell ref="A44:D44"/>
    <mergeCell ref="A53:D53"/>
    <mergeCell ref="A55:D55"/>
    <mergeCell ref="A57:D57"/>
    <mergeCell ref="I37:I43"/>
    <mergeCell ref="I45:I52"/>
    <mergeCell ref="I4:I10"/>
    <mergeCell ref="I12:I18"/>
    <mergeCell ref="A74:D74"/>
    <mergeCell ref="A59:D59"/>
    <mergeCell ref="A60:B64"/>
    <mergeCell ref="C60:C62"/>
    <mergeCell ref="C63:C64"/>
    <mergeCell ref="A65:B72"/>
    <mergeCell ref="C65:C66"/>
    <mergeCell ref="C67:C71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1EE5-B31B-46C0-9AB0-5BA39FFC1AF6}">
  <dimension ref="A1:R74"/>
  <sheetViews>
    <sheetView tabSelected="1" topLeftCell="A19" zoomScale="85" zoomScaleNormal="85" workbookViewId="0">
      <selection activeCell="M23" sqref="M23"/>
    </sheetView>
  </sheetViews>
  <sheetFormatPr defaultColWidth="8.7265625" defaultRowHeight="24" x14ac:dyDescent="0.8"/>
  <cols>
    <col min="1" max="1" width="5" style="9" customWidth="1"/>
    <col min="2" max="2" width="15" style="9" customWidth="1"/>
    <col min="3" max="3" width="50.453125" style="9" bestFit="1" customWidth="1"/>
    <col min="4" max="4" width="40.453125" style="9" bestFit="1" customWidth="1"/>
    <col min="5" max="5" width="13.7265625" style="9" bestFit="1" customWidth="1"/>
    <col min="6" max="6" width="19.453125" style="9" bestFit="1" customWidth="1"/>
    <col min="7" max="7" width="24.7265625" style="9" bestFit="1" customWidth="1"/>
    <col min="8" max="8" width="18.7265625" style="9" bestFit="1" customWidth="1"/>
    <col min="9" max="9" width="11" style="9" bestFit="1" customWidth="1"/>
    <col min="10" max="16384" width="8.7265625" style="9"/>
  </cols>
  <sheetData>
    <row r="1" spans="1:9" s="1" customFormat="1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s="1" customFormat="1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s="1" customFormat="1" x14ac:dyDescent="0.3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2" t="s">
        <v>161</v>
      </c>
    </row>
    <row r="4" spans="1:9" s="1" customFormat="1" x14ac:dyDescent="0.35">
      <c r="A4" s="3">
        <v>1</v>
      </c>
      <c r="B4" s="3" t="s">
        <v>117</v>
      </c>
      <c r="C4" s="4" t="s">
        <v>121</v>
      </c>
      <c r="D4" s="4" t="s">
        <v>107</v>
      </c>
      <c r="E4" s="3">
        <v>3</v>
      </c>
      <c r="F4" s="5" t="s">
        <v>135</v>
      </c>
      <c r="G4" s="3"/>
      <c r="H4" s="4"/>
      <c r="I4" s="33" t="s">
        <v>157</v>
      </c>
    </row>
    <row r="5" spans="1:9" s="1" customFormat="1" x14ac:dyDescent="0.35">
      <c r="A5" s="3">
        <v>2</v>
      </c>
      <c r="B5" s="3" t="s">
        <v>13</v>
      </c>
      <c r="C5" s="4" t="s">
        <v>120</v>
      </c>
      <c r="D5" s="4" t="s">
        <v>15</v>
      </c>
      <c r="E5" s="3">
        <v>3</v>
      </c>
      <c r="F5" s="5" t="s">
        <v>135</v>
      </c>
      <c r="G5" s="3"/>
      <c r="H5" s="4"/>
      <c r="I5" s="33"/>
    </row>
    <row r="6" spans="1:9" s="1" customFormat="1" x14ac:dyDescent="0.35">
      <c r="A6" s="3">
        <v>3</v>
      </c>
      <c r="B6" s="3" t="s">
        <v>16</v>
      </c>
      <c r="C6" s="4" t="s">
        <v>17</v>
      </c>
      <c r="D6" s="4" t="s">
        <v>18</v>
      </c>
      <c r="E6" s="3">
        <v>3</v>
      </c>
      <c r="F6" s="5" t="s">
        <v>135</v>
      </c>
      <c r="G6" s="3"/>
      <c r="H6" s="4"/>
      <c r="I6" s="33"/>
    </row>
    <row r="7" spans="1:9" s="1" customFormat="1" x14ac:dyDescent="0.35">
      <c r="A7" s="3">
        <v>4</v>
      </c>
      <c r="B7" s="3" t="s">
        <v>116</v>
      </c>
      <c r="C7" s="4" t="s">
        <v>119</v>
      </c>
      <c r="D7" s="4" t="s">
        <v>114</v>
      </c>
      <c r="E7" s="3">
        <v>3</v>
      </c>
      <c r="F7" s="5" t="s">
        <v>135</v>
      </c>
      <c r="G7" s="3"/>
      <c r="H7" s="3" t="s">
        <v>162</v>
      </c>
      <c r="I7" s="33"/>
    </row>
    <row r="8" spans="1:9" s="1" customFormat="1" x14ac:dyDescent="0.35">
      <c r="A8" s="3">
        <v>5</v>
      </c>
      <c r="B8" s="3" t="s">
        <v>118</v>
      </c>
      <c r="C8" s="4" t="s">
        <v>122</v>
      </c>
      <c r="D8" s="4" t="s">
        <v>105</v>
      </c>
      <c r="E8" s="3">
        <v>3</v>
      </c>
      <c r="F8" s="5" t="s">
        <v>135</v>
      </c>
      <c r="G8" s="3"/>
      <c r="H8" s="4"/>
      <c r="I8" s="33"/>
    </row>
    <row r="9" spans="1:9" s="1" customFormat="1" x14ac:dyDescent="0.35">
      <c r="A9" s="3">
        <v>6</v>
      </c>
      <c r="B9" s="3" t="s">
        <v>19</v>
      </c>
      <c r="C9" s="4" t="s">
        <v>20</v>
      </c>
      <c r="D9" s="4" t="s">
        <v>18</v>
      </c>
      <c r="E9" s="3">
        <v>3</v>
      </c>
      <c r="F9" s="5" t="s">
        <v>135</v>
      </c>
      <c r="G9" s="3"/>
      <c r="H9" s="3" t="s">
        <v>162</v>
      </c>
      <c r="I9" s="33"/>
    </row>
    <row r="10" spans="1:9" s="1" customFormat="1" x14ac:dyDescent="0.35">
      <c r="A10" s="3">
        <v>7</v>
      </c>
      <c r="B10" s="3" t="s">
        <v>23</v>
      </c>
      <c r="C10" s="4" t="s">
        <v>24</v>
      </c>
      <c r="D10" s="4" t="s">
        <v>18</v>
      </c>
      <c r="E10" s="3">
        <v>3</v>
      </c>
      <c r="F10" s="5" t="s">
        <v>135</v>
      </c>
      <c r="G10" s="3"/>
      <c r="H10" s="4"/>
      <c r="I10" s="33"/>
    </row>
    <row r="11" spans="1:9" s="1" customFormat="1" x14ac:dyDescent="0.35">
      <c r="A11" s="51" t="s">
        <v>123</v>
      </c>
      <c r="B11" s="51"/>
      <c r="C11" s="51"/>
      <c r="D11" s="51"/>
      <c r="E11" s="27">
        <f>SUM(E4:E10)</f>
        <v>21</v>
      </c>
      <c r="F11" s="21"/>
      <c r="G11" s="22"/>
      <c r="H11" s="24"/>
      <c r="I11" s="22"/>
    </row>
    <row r="12" spans="1:9" s="1" customFormat="1" x14ac:dyDescent="0.35">
      <c r="A12" s="3">
        <v>8</v>
      </c>
      <c r="B12" s="3" t="s">
        <v>125</v>
      </c>
      <c r="C12" s="4" t="s">
        <v>127</v>
      </c>
      <c r="D12" s="4" t="s">
        <v>105</v>
      </c>
      <c r="E12" s="3">
        <v>3</v>
      </c>
      <c r="F12" s="5" t="s">
        <v>136</v>
      </c>
      <c r="G12" s="3"/>
      <c r="H12" s="4"/>
      <c r="I12" s="49" t="s">
        <v>158</v>
      </c>
    </row>
    <row r="13" spans="1:9" s="1" customFormat="1" x14ac:dyDescent="0.35">
      <c r="A13" s="3">
        <v>9</v>
      </c>
      <c r="B13" s="3" t="s">
        <v>124</v>
      </c>
      <c r="C13" s="4" t="s">
        <v>126</v>
      </c>
      <c r="D13" s="4" t="s">
        <v>106</v>
      </c>
      <c r="E13" s="3">
        <v>3</v>
      </c>
      <c r="F13" s="5" t="s">
        <v>136</v>
      </c>
      <c r="G13" s="3"/>
      <c r="H13" s="4"/>
      <c r="I13" s="50"/>
    </row>
    <row r="14" spans="1:9" s="1" customFormat="1" x14ac:dyDescent="0.35">
      <c r="A14" s="3">
        <v>10</v>
      </c>
      <c r="B14" s="3" t="s">
        <v>128</v>
      </c>
      <c r="C14" s="4" t="s">
        <v>129</v>
      </c>
      <c r="D14" s="4" t="s">
        <v>105</v>
      </c>
      <c r="E14" s="3">
        <v>3</v>
      </c>
      <c r="F14" s="5" t="s">
        <v>136</v>
      </c>
      <c r="G14" s="3"/>
      <c r="H14" s="4"/>
      <c r="I14" s="50"/>
    </row>
    <row r="15" spans="1:9" s="1" customFormat="1" x14ac:dyDescent="0.35">
      <c r="A15" s="3">
        <v>11</v>
      </c>
      <c r="B15" s="3" t="s">
        <v>29</v>
      </c>
      <c r="C15" s="4" t="s">
        <v>30</v>
      </c>
      <c r="D15" s="4" t="s">
        <v>15</v>
      </c>
      <c r="E15" s="3">
        <v>3</v>
      </c>
      <c r="F15" s="5" t="s">
        <v>136</v>
      </c>
      <c r="G15" s="3" t="s">
        <v>13</v>
      </c>
      <c r="H15" s="4"/>
      <c r="I15" s="50"/>
    </row>
    <row r="16" spans="1:9" s="1" customFormat="1" x14ac:dyDescent="0.35">
      <c r="A16" s="3">
        <v>12</v>
      </c>
      <c r="B16" s="3" t="s">
        <v>39</v>
      </c>
      <c r="C16" s="4" t="s">
        <v>40</v>
      </c>
      <c r="D16" s="4" t="s">
        <v>41</v>
      </c>
      <c r="E16" s="3">
        <v>2</v>
      </c>
      <c r="F16" s="5" t="s">
        <v>136</v>
      </c>
      <c r="G16" s="3"/>
      <c r="H16" s="4"/>
      <c r="I16" s="50"/>
    </row>
    <row r="17" spans="1:18" s="1" customFormat="1" x14ac:dyDescent="0.35">
      <c r="A17" s="3">
        <v>13</v>
      </c>
      <c r="B17" s="3" t="s">
        <v>42</v>
      </c>
      <c r="C17" s="4" t="s">
        <v>43</v>
      </c>
      <c r="D17" s="4" t="s">
        <v>18</v>
      </c>
      <c r="E17" s="3">
        <v>3</v>
      </c>
      <c r="F17" s="5" t="s">
        <v>136</v>
      </c>
      <c r="G17" s="3"/>
      <c r="H17" s="4"/>
      <c r="I17" s="50"/>
    </row>
    <row r="18" spans="1:18" s="1" customFormat="1" x14ac:dyDescent="0.35">
      <c r="A18" s="3">
        <v>14</v>
      </c>
      <c r="B18" s="3" t="s">
        <v>33</v>
      </c>
      <c r="C18" s="4" t="s">
        <v>34</v>
      </c>
      <c r="D18" s="4" t="s">
        <v>35</v>
      </c>
      <c r="E18" s="3">
        <v>3</v>
      </c>
      <c r="F18" s="5" t="s">
        <v>136</v>
      </c>
      <c r="G18" s="3" t="s">
        <v>19</v>
      </c>
      <c r="H18" s="3" t="s">
        <v>162</v>
      </c>
      <c r="I18" s="50"/>
    </row>
    <row r="19" spans="1:18" s="1" customFormat="1" x14ac:dyDescent="0.35">
      <c r="A19" s="3">
        <v>15</v>
      </c>
      <c r="B19" s="3" t="s">
        <v>31</v>
      </c>
      <c r="C19" s="4" t="s">
        <v>32</v>
      </c>
      <c r="D19" s="4" t="s">
        <v>15</v>
      </c>
      <c r="E19" s="3">
        <v>4</v>
      </c>
      <c r="F19" s="5" t="s">
        <v>136</v>
      </c>
      <c r="G19" s="3"/>
      <c r="H19" s="4"/>
      <c r="I19" s="34"/>
    </row>
    <row r="20" spans="1:18" s="1" customFormat="1" x14ac:dyDescent="0.35">
      <c r="A20" s="45" t="s">
        <v>123</v>
      </c>
      <c r="B20" s="46"/>
      <c r="C20" s="46"/>
      <c r="D20" s="47"/>
      <c r="E20" s="20">
        <f>SUM(E12:E19)</f>
        <v>24</v>
      </c>
      <c r="F20" s="21"/>
      <c r="G20" s="22"/>
      <c r="H20" s="24"/>
      <c r="I20" s="22"/>
      <c r="K20" s="55"/>
      <c r="L20" s="55"/>
      <c r="M20" s="55"/>
      <c r="N20" s="55"/>
      <c r="O20" s="55"/>
      <c r="P20" s="55"/>
      <c r="Q20" s="55"/>
      <c r="R20" s="55"/>
    </row>
    <row r="21" spans="1:18" s="1" customFormat="1" x14ac:dyDescent="0.35">
      <c r="A21" s="17"/>
      <c r="B21" s="17" t="s">
        <v>21</v>
      </c>
      <c r="C21" s="18" t="s">
        <v>22</v>
      </c>
      <c r="D21" s="18" t="s">
        <v>18</v>
      </c>
      <c r="E21" s="17">
        <v>1</v>
      </c>
      <c r="F21" s="19"/>
      <c r="G21" s="17"/>
      <c r="H21" s="18"/>
      <c r="I21" s="49" t="s">
        <v>159</v>
      </c>
      <c r="K21" s="22"/>
      <c r="L21" s="24"/>
      <c r="M21" s="24"/>
      <c r="N21" s="22"/>
      <c r="O21" s="21"/>
      <c r="P21" s="22"/>
      <c r="Q21" s="24"/>
      <c r="R21" s="55"/>
    </row>
    <row r="22" spans="1:18" s="1" customFormat="1" x14ac:dyDescent="0.35">
      <c r="A22" s="17"/>
      <c r="B22" s="17" t="s">
        <v>25</v>
      </c>
      <c r="C22" s="18" t="s">
        <v>26</v>
      </c>
      <c r="D22" s="18" t="s">
        <v>18</v>
      </c>
      <c r="E22" s="17">
        <v>3</v>
      </c>
      <c r="F22" s="19"/>
      <c r="G22" s="17"/>
      <c r="H22" s="18"/>
      <c r="I22" s="50"/>
      <c r="K22" s="55"/>
      <c r="L22" s="55"/>
      <c r="M22" s="55"/>
      <c r="N22" s="55"/>
      <c r="O22" s="55"/>
      <c r="P22" s="55"/>
      <c r="Q22" s="55"/>
      <c r="R22" s="55"/>
    </row>
    <row r="23" spans="1:18" s="1" customFormat="1" x14ac:dyDescent="0.35">
      <c r="A23" s="17"/>
      <c r="B23" s="17" t="s">
        <v>133</v>
      </c>
      <c r="C23" s="18" t="s">
        <v>134</v>
      </c>
      <c r="D23" s="18" t="s">
        <v>105</v>
      </c>
      <c r="E23" s="17">
        <v>3</v>
      </c>
      <c r="F23" s="19"/>
      <c r="G23" s="17"/>
      <c r="H23" s="18"/>
      <c r="I23" s="50"/>
      <c r="K23" s="55"/>
      <c r="L23" s="55"/>
      <c r="M23" s="55"/>
      <c r="N23" s="55"/>
      <c r="O23" s="55"/>
      <c r="P23" s="55"/>
      <c r="Q23" s="55"/>
      <c r="R23" s="55"/>
    </row>
    <row r="24" spans="1:18" s="1" customFormat="1" x14ac:dyDescent="0.35">
      <c r="A24" s="17"/>
      <c r="B24" s="17" t="s">
        <v>45</v>
      </c>
      <c r="C24" s="18" t="s">
        <v>46</v>
      </c>
      <c r="D24" s="18" t="s">
        <v>18</v>
      </c>
      <c r="E24" s="17">
        <v>3</v>
      </c>
      <c r="F24" s="19"/>
      <c r="G24" s="17" t="s">
        <v>13</v>
      </c>
      <c r="H24" s="18"/>
      <c r="I24" s="50"/>
    </row>
    <row r="25" spans="1:18" s="1" customFormat="1" x14ac:dyDescent="0.35">
      <c r="A25" s="17"/>
      <c r="B25" s="29" t="s">
        <v>36</v>
      </c>
      <c r="C25" s="18" t="s">
        <v>37</v>
      </c>
      <c r="D25" s="18" t="s">
        <v>38</v>
      </c>
      <c r="E25" s="29">
        <v>3</v>
      </c>
      <c r="F25" s="19"/>
      <c r="G25" s="29"/>
      <c r="H25" s="18"/>
      <c r="I25" s="50"/>
    </row>
    <row r="26" spans="1:18" s="1" customFormat="1" x14ac:dyDescent="0.35">
      <c r="A26" s="17"/>
      <c r="B26" s="17" t="s">
        <v>49</v>
      </c>
      <c r="C26" s="18" t="s">
        <v>50</v>
      </c>
      <c r="D26" s="18" t="s">
        <v>38</v>
      </c>
      <c r="E26" s="17">
        <v>3</v>
      </c>
      <c r="F26" s="19"/>
      <c r="G26" s="17" t="s">
        <v>42</v>
      </c>
      <c r="H26" s="18"/>
      <c r="I26" s="50"/>
    </row>
    <row r="27" spans="1:18" s="1" customFormat="1" x14ac:dyDescent="0.35">
      <c r="A27" s="17"/>
      <c r="B27" s="17" t="s">
        <v>51</v>
      </c>
      <c r="C27" s="18" t="s">
        <v>52</v>
      </c>
      <c r="D27" s="18" t="s">
        <v>38</v>
      </c>
      <c r="E27" s="17">
        <v>3</v>
      </c>
      <c r="F27" s="19"/>
      <c r="G27" s="17"/>
      <c r="H27" s="18"/>
      <c r="I27" s="50"/>
    </row>
    <row r="28" spans="1:18" s="1" customFormat="1" x14ac:dyDescent="0.35">
      <c r="A28" s="17"/>
      <c r="B28" s="17" t="s">
        <v>53</v>
      </c>
      <c r="C28" s="18" t="s">
        <v>54</v>
      </c>
      <c r="D28" s="18" t="s">
        <v>41</v>
      </c>
      <c r="E28" s="17">
        <v>3</v>
      </c>
      <c r="F28" s="19"/>
      <c r="G28" s="17" t="s">
        <v>42</v>
      </c>
      <c r="H28" s="18"/>
      <c r="I28" s="50"/>
    </row>
    <row r="29" spans="1:18" s="1" customFormat="1" x14ac:dyDescent="0.35">
      <c r="A29" s="17"/>
      <c r="B29" s="17" t="s">
        <v>55</v>
      </c>
      <c r="C29" s="18" t="s">
        <v>56</v>
      </c>
      <c r="D29" s="18" t="s">
        <v>38</v>
      </c>
      <c r="E29" s="17">
        <v>3</v>
      </c>
      <c r="F29" s="19"/>
      <c r="G29" s="17" t="s">
        <v>33</v>
      </c>
      <c r="H29" s="18"/>
      <c r="I29" s="34"/>
    </row>
    <row r="30" spans="1:18" s="1" customFormat="1" x14ac:dyDescent="0.35">
      <c r="A30" s="45" t="s">
        <v>123</v>
      </c>
      <c r="B30" s="46"/>
      <c r="C30" s="46"/>
      <c r="D30" s="47"/>
      <c r="E30" s="20">
        <f>SUM(E21:E29)</f>
        <v>25</v>
      </c>
      <c r="F30" s="21"/>
      <c r="G30" s="22"/>
      <c r="H30" s="24"/>
      <c r="I30" s="22"/>
    </row>
    <row r="31" spans="1:18" s="1" customFormat="1" x14ac:dyDescent="0.35">
      <c r="A31" s="17"/>
      <c r="B31" s="29" t="s">
        <v>47</v>
      </c>
      <c r="C31" s="18" t="s">
        <v>48</v>
      </c>
      <c r="D31" s="18" t="s">
        <v>18</v>
      </c>
      <c r="E31" s="29">
        <v>3</v>
      </c>
      <c r="F31" s="19"/>
      <c r="G31" s="29" t="s">
        <v>13</v>
      </c>
      <c r="H31" s="18"/>
      <c r="I31" s="49" t="s">
        <v>160</v>
      </c>
    </row>
    <row r="32" spans="1:18" s="1" customFormat="1" x14ac:dyDescent="0.35">
      <c r="A32" s="17"/>
      <c r="B32" s="52" t="s">
        <v>168</v>
      </c>
      <c r="C32" s="53" t="s">
        <v>169</v>
      </c>
      <c r="D32" s="53" t="s">
        <v>110</v>
      </c>
      <c r="E32" s="52">
        <v>3</v>
      </c>
      <c r="F32" s="54"/>
      <c r="G32" s="52"/>
      <c r="H32" s="53"/>
      <c r="I32" s="50"/>
    </row>
    <row r="33" spans="1:9" s="1" customFormat="1" x14ac:dyDescent="0.35">
      <c r="A33" s="17"/>
      <c r="B33" s="52" t="s">
        <v>167</v>
      </c>
      <c r="C33" s="53" t="s">
        <v>170</v>
      </c>
      <c r="D33" s="53" t="s">
        <v>109</v>
      </c>
      <c r="E33" s="52">
        <v>3</v>
      </c>
      <c r="F33" s="54"/>
      <c r="G33" s="52"/>
      <c r="H33" s="53"/>
      <c r="I33" s="50"/>
    </row>
    <row r="34" spans="1:9" s="1" customFormat="1" x14ac:dyDescent="0.35">
      <c r="A34" s="17"/>
      <c r="B34" s="17" t="s">
        <v>59</v>
      </c>
      <c r="C34" s="18" t="s">
        <v>60</v>
      </c>
      <c r="D34" s="18" t="s">
        <v>41</v>
      </c>
      <c r="E34" s="17">
        <v>3</v>
      </c>
      <c r="F34" s="19"/>
      <c r="G34" s="17" t="s">
        <v>42</v>
      </c>
      <c r="H34" s="18"/>
      <c r="I34" s="50"/>
    </row>
    <row r="35" spans="1:9" s="1" customFormat="1" x14ac:dyDescent="0.35">
      <c r="A35" s="17"/>
      <c r="B35" s="17" t="s">
        <v>61</v>
      </c>
      <c r="C35" s="18" t="s">
        <v>62</v>
      </c>
      <c r="D35" s="18" t="s">
        <v>38</v>
      </c>
      <c r="E35" s="17">
        <v>3</v>
      </c>
      <c r="F35" s="19"/>
      <c r="G35" s="17" t="s">
        <v>55</v>
      </c>
      <c r="H35" s="18"/>
      <c r="I35" s="50"/>
    </row>
    <row r="36" spans="1:9" s="1" customFormat="1" x14ac:dyDescent="0.35">
      <c r="A36" s="17"/>
      <c r="B36" s="17" t="s">
        <v>63</v>
      </c>
      <c r="C36" s="18" t="s">
        <v>64</v>
      </c>
      <c r="D36" s="18" t="s">
        <v>65</v>
      </c>
      <c r="E36" s="17">
        <v>3</v>
      </c>
      <c r="F36" s="19"/>
      <c r="G36" s="17" t="s">
        <v>33</v>
      </c>
      <c r="H36" s="18"/>
      <c r="I36" s="50"/>
    </row>
    <row r="37" spans="1:9" s="1" customFormat="1" x14ac:dyDescent="0.35">
      <c r="A37" s="17"/>
      <c r="B37" s="17" t="s">
        <v>66</v>
      </c>
      <c r="C37" s="18" t="s">
        <v>67</v>
      </c>
      <c r="D37" s="18" t="s">
        <v>41</v>
      </c>
      <c r="E37" s="17">
        <v>3</v>
      </c>
      <c r="F37" s="19"/>
      <c r="G37" s="17" t="s">
        <v>42</v>
      </c>
      <c r="H37" s="18"/>
      <c r="I37" s="50"/>
    </row>
    <row r="38" spans="1:9" s="1" customFormat="1" x14ac:dyDescent="0.35">
      <c r="A38" s="17"/>
      <c r="B38" s="17" t="s">
        <v>68</v>
      </c>
      <c r="C38" s="18" t="s">
        <v>69</v>
      </c>
      <c r="D38" s="18" t="s">
        <v>38</v>
      </c>
      <c r="E38" s="17">
        <v>3</v>
      </c>
      <c r="F38" s="19"/>
      <c r="G38" s="26" t="s">
        <v>149</v>
      </c>
      <c r="H38" s="18"/>
      <c r="I38" s="34"/>
    </row>
    <row r="39" spans="1:9" s="1" customFormat="1" x14ac:dyDescent="0.35">
      <c r="A39" s="45" t="s">
        <v>123</v>
      </c>
      <c r="B39" s="46"/>
      <c r="C39" s="46"/>
      <c r="D39" s="47"/>
      <c r="E39" s="20">
        <f>SUM(E31:E38)</f>
        <v>24</v>
      </c>
      <c r="F39" s="21"/>
      <c r="G39" s="22"/>
      <c r="H39" s="24"/>
      <c r="I39" s="22"/>
    </row>
    <row r="40" spans="1:9" s="1" customFormat="1" x14ac:dyDescent="0.35">
      <c r="A40" s="17"/>
      <c r="B40" s="17" t="s">
        <v>10</v>
      </c>
      <c r="C40" s="18"/>
      <c r="D40" s="18" t="s">
        <v>115</v>
      </c>
      <c r="E40" s="17">
        <v>3</v>
      </c>
      <c r="F40" s="19"/>
      <c r="G40" s="17"/>
      <c r="H40" s="17"/>
      <c r="I40" s="33" t="s">
        <v>163</v>
      </c>
    </row>
    <row r="41" spans="1:9" s="1" customFormat="1" x14ac:dyDescent="0.35">
      <c r="A41" s="17"/>
      <c r="B41" s="17" t="s">
        <v>137</v>
      </c>
      <c r="C41" s="18" t="s">
        <v>139</v>
      </c>
      <c r="D41" s="18" t="s">
        <v>107</v>
      </c>
      <c r="E41" s="17">
        <v>3</v>
      </c>
      <c r="F41" s="19"/>
      <c r="G41" s="17"/>
      <c r="H41" s="18"/>
      <c r="I41" s="33"/>
    </row>
    <row r="42" spans="1:9" s="1" customFormat="1" x14ac:dyDescent="0.35">
      <c r="A42" s="17"/>
      <c r="B42" s="17" t="s">
        <v>73</v>
      </c>
      <c r="C42" s="18" t="s">
        <v>74</v>
      </c>
      <c r="D42" s="18" t="s">
        <v>35</v>
      </c>
      <c r="E42" s="17">
        <v>3</v>
      </c>
      <c r="F42" s="19"/>
      <c r="G42" s="17"/>
      <c r="H42" s="18"/>
      <c r="I42" s="33"/>
    </row>
    <row r="43" spans="1:9" s="1" customFormat="1" x14ac:dyDescent="0.35">
      <c r="A43" s="17"/>
      <c r="B43" s="17" t="s">
        <v>75</v>
      </c>
      <c r="C43" s="18" t="s">
        <v>76</v>
      </c>
      <c r="D43" s="18" t="s">
        <v>41</v>
      </c>
      <c r="E43" s="17">
        <v>3</v>
      </c>
      <c r="F43" s="19"/>
      <c r="G43" s="17" t="s">
        <v>59</v>
      </c>
      <c r="H43" s="18"/>
      <c r="I43" s="33"/>
    </row>
    <row r="44" spans="1:9" s="1" customFormat="1" x14ac:dyDescent="0.35">
      <c r="A44" s="17"/>
      <c r="B44" s="17" t="s">
        <v>77</v>
      </c>
      <c r="C44" s="18" t="s">
        <v>78</v>
      </c>
      <c r="D44" s="18" t="s">
        <v>35</v>
      </c>
      <c r="E44" s="17">
        <v>3</v>
      </c>
      <c r="F44" s="19"/>
      <c r="G44" s="17" t="s">
        <v>63</v>
      </c>
      <c r="H44" s="18"/>
      <c r="I44" s="33"/>
    </row>
    <row r="45" spans="1:9" s="1" customFormat="1" x14ac:dyDescent="0.35">
      <c r="A45" s="17"/>
      <c r="B45" s="17" t="s">
        <v>150</v>
      </c>
      <c r="C45" s="18" t="s">
        <v>151</v>
      </c>
      <c r="D45" s="18" t="s">
        <v>114</v>
      </c>
      <c r="E45" s="17">
        <v>3</v>
      </c>
      <c r="F45" s="19"/>
      <c r="G45" s="17" t="s">
        <v>152</v>
      </c>
      <c r="H45" s="17"/>
      <c r="I45" s="33"/>
    </row>
    <row r="46" spans="1:9" s="1" customFormat="1" x14ac:dyDescent="0.35">
      <c r="A46" s="17"/>
      <c r="B46" s="17" t="s">
        <v>155</v>
      </c>
      <c r="C46" s="18" t="s">
        <v>156</v>
      </c>
      <c r="D46" s="18" t="s">
        <v>114</v>
      </c>
      <c r="E46" s="17">
        <v>3</v>
      </c>
      <c r="F46" s="19"/>
      <c r="G46" s="17" t="s">
        <v>63</v>
      </c>
      <c r="H46" s="17"/>
      <c r="I46" s="33"/>
    </row>
    <row r="47" spans="1:9" s="1" customFormat="1" x14ac:dyDescent="0.35">
      <c r="A47" s="45" t="s">
        <v>123</v>
      </c>
      <c r="B47" s="46"/>
      <c r="C47" s="46"/>
      <c r="D47" s="47"/>
      <c r="E47" s="20">
        <f>SUM(E40:E46)</f>
        <v>21</v>
      </c>
      <c r="F47" s="21"/>
      <c r="G47" s="22"/>
      <c r="H47" s="24"/>
      <c r="I47" s="28"/>
    </row>
    <row r="48" spans="1:9" s="1" customFormat="1" x14ac:dyDescent="0.35">
      <c r="A48" s="17"/>
      <c r="B48" s="17" t="s">
        <v>10</v>
      </c>
      <c r="C48" s="18"/>
      <c r="D48" s="18" t="s">
        <v>115</v>
      </c>
      <c r="E48" s="17">
        <v>3</v>
      </c>
      <c r="F48" s="19"/>
      <c r="G48" s="17"/>
      <c r="H48" s="17"/>
      <c r="I48" s="49" t="s">
        <v>166</v>
      </c>
    </row>
    <row r="49" spans="1:9" s="1" customFormat="1" x14ac:dyDescent="0.35">
      <c r="A49" s="17"/>
      <c r="B49" s="17" t="s">
        <v>138</v>
      </c>
      <c r="C49" s="18" t="s">
        <v>140</v>
      </c>
      <c r="D49" s="18" t="s">
        <v>107</v>
      </c>
      <c r="E49" s="17">
        <v>3</v>
      </c>
      <c r="F49" s="19"/>
      <c r="G49" s="17"/>
      <c r="H49" s="18"/>
      <c r="I49" s="50"/>
    </row>
    <row r="50" spans="1:9" s="1" customFormat="1" x14ac:dyDescent="0.35">
      <c r="A50" s="17"/>
      <c r="B50" s="17" t="s">
        <v>83</v>
      </c>
      <c r="C50" s="18" t="s">
        <v>84</v>
      </c>
      <c r="D50" s="18" t="s">
        <v>85</v>
      </c>
      <c r="E50" s="17">
        <v>1</v>
      </c>
      <c r="F50" s="19"/>
      <c r="G50" s="17"/>
      <c r="H50" s="18"/>
      <c r="I50" s="50"/>
    </row>
    <row r="51" spans="1:9" s="1" customFormat="1" x14ac:dyDescent="0.35">
      <c r="A51" s="17"/>
      <c r="B51" s="17" t="s">
        <v>86</v>
      </c>
      <c r="C51" s="18" t="s">
        <v>87</v>
      </c>
      <c r="D51" s="18" t="s">
        <v>85</v>
      </c>
      <c r="E51" s="17">
        <v>1</v>
      </c>
      <c r="F51" s="19"/>
      <c r="G51" s="17"/>
      <c r="H51" s="17"/>
      <c r="I51" s="50"/>
    </row>
    <row r="52" spans="1:9" s="1" customFormat="1" x14ac:dyDescent="0.35">
      <c r="A52" s="17"/>
      <c r="B52" s="17" t="s">
        <v>153</v>
      </c>
      <c r="C52" s="18" t="s">
        <v>154</v>
      </c>
      <c r="D52" s="18" t="s">
        <v>114</v>
      </c>
      <c r="E52" s="17">
        <v>3</v>
      </c>
      <c r="F52" s="19"/>
      <c r="G52" s="17" t="s">
        <v>68</v>
      </c>
      <c r="H52" s="17"/>
      <c r="I52" s="34"/>
    </row>
    <row r="53" spans="1:9" s="1" customFormat="1" x14ac:dyDescent="0.35">
      <c r="A53" s="45" t="s">
        <v>123</v>
      </c>
      <c r="B53" s="46"/>
      <c r="C53" s="46"/>
      <c r="D53" s="47"/>
      <c r="E53" s="20">
        <f>SUM(E48:E52)</f>
        <v>11</v>
      </c>
      <c r="F53" s="21"/>
      <c r="G53" s="22"/>
      <c r="H53" s="24"/>
      <c r="I53" s="22"/>
    </row>
    <row r="54" spans="1:9" s="1" customFormat="1" x14ac:dyDescent="0.35">
      <c r="A54" s="17"/>
      <c r="B54" s="17" t="s">
        <v>92</v>
      </c>
      <c r="C54" s="18" t="s">
        <v>93</v>
      </c>
      <c r="D54" s="18" t="s">
        <v>85</v>
      </c>
      <c r="E54" s="17">
        <v>6</v>
      </c>
      <c r="F54" s="19"/>
      <c r="G54" s="17" t="s">
        <v>86</v>
      </c>
      <c r="H54" s="17"/>
      <c r="I54" s="2" t="s">
        <v>165</v>
      </c>
    </row>
    <row r="55" spans="1:9" s="1" customFormat="1" x14ac:dyDescent="0.35">
      <c r="A55" s="45" t="s">
        <v>123</v>
      </c>
      <c r="B55" s="46"/>
      <c r="C55" s="46"/>
      <c r="D55" s="47"/>
      <c r="E55" s="20">
        <f>SUM(E54)</f>
        <v>6</v>
      </c>
      <c r="F55" s="21"/>
      <c r="G55" s="22"/>
      <c r="H55" s="24"/>
      <c r="I55" s="22"/>
    </row>
    <row r="56" spans="1:9" s="1" customFormat="1" x14ac:dyDescent="0.35">
      <c r="A56" s="17"/>
      <c r="B56" s="17" t="s">
        <v>96</v>
      </c>
      <c r="C56" s="18" t="s">
        <v>97</v>
      </c>
      <c r="D56" s="18" t="s">
        <v>85</v>
      </c>
      <c r="E56" s="17">
        <v>3</v>
      </c>
      <c r="F56" s="19"/>
      <c r="G56" s="17" t="s">
        <v>83</v>
      </c>
      <c r="H56" s="18"/>
      <c r="I56" s="2" t="s">
        <v>164</v>
      </c>
    </row>
    <row r="57" spans="1:9" s="1" customFormat="1" x14ac:dyDescent="0.35">
      <c r="A57" s="48" t="s">
        <v>123</v>
      </c>
      <c r="B57" s="48"/>
      <c r="C57" s="48"/>
      <c r="D57" s="48"/>
      <c r="E57" s="17">
        <f>SUM(E56)</f>
        <v>3</v>
      </c>
      <c r="F57" s="21"/>
      <c r="G57" s="22"/>
      <c r="H57" s="24"/>
      <c r="I57" s="22"/>
    </row>
    <row r="59" spans="1:9" x14ac:dyDescent="0.8">
      <c r="A59" s="33" t="s">
        <v>100</v>
      </c>
      <c r="B59" s="33"/>
      <c r="C59" s="33"/>
      <c r="D59" s="33"/>
      <c r="E59" s="2" t="s">
        <v>101</v>
      </c>
      <c r="F59" s="7" t="s">
        <v>102</v>
      </c>
    </row>
    <row r="60" spans="1:9" x14ac:dyDescent="0.8">
      <c r="A60" s="35" t="s">
        <v>103</v>
      </c>
      <c r="B60" s="35"/>
      <c r="C60" s="35" t="s">
        <v>104</v>
      </c>
      <c r="D60" s="10" t="s">
        <v>105</v>
      </c>
      <c r="E60" s="11">
        <f>SUMIF(D3:D57,"กลุ่มวิชาภาษาและการสื่อสาร",E3:E57)</f>
        <v>12</v>
      </c>
      <c r="F60" s="11">
        <v>12</v>
      </c>
    </row>
    <row r="61" spans="1:9" x14ac:dyDescent="0.8">
      <c r="A61" s="35"/>
      <c r="B61" s="35"/>
      <c r="C61" s="35"/>
      <c r="D61" s="12" t="s">
        <v>106</v>
      </c>
      <c r="E61" s="11">
        <f>SUMIF(D3:D57,"กลุ่มวิชาสุขภาพ",E3:E57)</f>
        <v>3</v>
      </c>
      <c r="F61" s="11">
        <v>3</v>
      </c>
    </row>
    <row r="62" spans="1:9" x14ac:dyDescent="0.8">
      <c r="A62" s="35"/>
      <c r="B62" s="35"/>
      <c r="C62" s="35"/>
      <c r="D62" s="12" t="s">
        <v>107</v>
      </c>
      <c r="E62" s="11">
        <f>SUMIF(D3:D57,"กลุ่มวิชาบูรณาการ",E3:E57)</f>
        <v>9</v>
      </c>
      <c r="F62" s="11">
        <v>9</v>
      </c>
    </row>
    <row r="63" spans="1:9" x14ac:dyDescent="0.8">
      <c r="A63" s="35"/>
      <c r="B63" s="35"/>
      <c r="C63" s="36" t="s">
        <v>108</v>
      </c>
      <c r="D63" s="12" t="s">
        <v>109</v>
      </c>
      <c r="E63" s="11">
        <f>SUMIF(D3:D57,"กลุ่มวิชาสังคมศาสตร์และมนุษยศาสตร์",E3:E57)</f>
        <v>3</v>
      </c>
      <c r="F63" s="11">
        <v>3</v>
      </c>
    </row>
    <row r="64" spans="1:9" x14ac:dyDescent="0.8">
      <c r="A64" s="35"/>
      <c r="B64" s="35"/>
      <c r="C64" s="36"/>
      <c r="D64" s="12" t="s">
        <v>110</v>
      </c>
      <c r="E64" s="11">
        <f>SUMIF(D3:D57,"กลุ่มวิชาวิทยาศาสตร์และคณิตศาสตร์",E3:E57)</f>
        <v>3</v>
      </c>
      <c r="F64" s="11">
        <v>3</v>
      </c>
    </row>
    <row r="65" spans="1:6" x14ac:dyDescent="0.8">
      <c r="A65" s="37" t="s">
        <v>111</v>
      </c>
      <c r="B65" s="37"/>
      <c r="C65" s="38" t="s">
        <v>130</v>
      </c>
      <c r="D65" s="13" t="s">
        <v>15</v>
      </c>
      <c r="E65" s="14">
        <f>SUMIF(D3:D57,"กลุ่มวิชาพื้นฐานทางวิทยาศาสตร์และคณิตศาสตร์",E3:E57)</f>
        <v>10</v>
      </c>
      <c r="F65" s="14">
        <v>10</v>
      </c>
    </row>
    <row r="66" spans="1:6" x14ac:dyDescent="0.8">
      <c r="A66" s="37"/>
      <c r="B66" s="37"/>
      <c r="C66" s="38"/>
      <c r="D66" s="13" t="s">
        <v>18</v>
      </c>
      <c r="E66" s="14">
        <f>SUMIF(D3:D57,"กลุ่มวิชาพื้นฐานทางวิศวกรรมศาสตร์",E3:E57)</f>
        <v>22</v>
      </c>
      <c r="F66" s="14">
        <v>22</v>
      </c>
    </row>
    <row r="67" spans="1:6" x14ac:dyDescent="0.8">
      <c r="A67" s="37"/>
      <c r="B67" s="37"/>
      <c r="C67" s="38" t="s">
        <v>113</v>
      </c>
      <c r="D67" s="13" t="s">
        <v>41</v>
      </c>
      <c r="E67" s="14">
        <f>SUMIF(D3:D57,"กลุ่มฮาร์ดแวร์และสถาปัตยกรรมคอมพิวเตอร์",E3:E57)</f>
        <v>14</v>
      </c>
      <c r="F67" s="14">
        <v>14</v>
      </c>
    </row>
    <row r="68" spans="1:6" x14ac:dyDescent="0.8">
      <c r="A68" s="37"/>
      <c r="B68" s="37"/>
      <c r="C68" s="38"/>
      <c r="D68" s="13" t="s">
        <v>38</v>
      </c>
      <c r="E68" s="14">
        <f>SUMIF(D3:D57,"กลุ่มโครงสร้างพื้นฐานของระบบ",E3:E57)</f>
        <v>18</v>
      </c>
      <c r="F68" s="14">
        <v>18</v>
      </c>
    </row>
    <row r="69" spans="1:6" x14ac:dyDescent="0.8">
      <c r="A69" s="37"/>
      <c r="B69" s="37"/>
      <c r="C69" s="38"/>
      <c r="D69" s="13" t="s">
        <v>35</v>
      </c>
      <c r="E69" s="14">
        <f>SUMIF(D3:D57,"กลุ่มเทคโนโลยีและวิธีการทางซอฟต์แวร์",E3:E57)</f>
        <v>9</v>
      </c>
      <c r="F69" s="14">
        <v>9</v>
      </c>
    </row>
    <row r="70" spans="1:6" x14ac:dyDescent="0.8">
      <c r="A70" s="37"/>
      <c r="B70" s="37"/>
      <c r="C70" s="38"/>
      <c r="D70" s="13" t="s">
        <v>65</v>
      </c>
      <c r="E70" s="14">
        <f>SUMIF(D3:D57,"กลุ่มเทคโนโลยีเพื่องานประยุกต์",E3:E57)</f>
        <v>3</v>
      </c>
      <c r="F70" s="14">
        <v>3</v>
      </c>
    </row>
    <row r="71" spans="1:6" x14ac:dyDescent="0.8">
      <c r="A71" s="37"/>
      <c r="B71" s="37"/>
      <c r="C71" s="38"/>
      <c r="D71" s="13" t="s">
        <v>85</v>
      </c>
      <c r="E71" s="14">
        <f>SUMIF(D3:D57,"กลุ่มฝึกวิชาชีพและโครงงาน",E3:E57)</f>
        <v>11</v>
      </c>
      <c r="F71" s="14">
        <v>11</v>
      </c>
    </row>
    <row r="72" spans="1:6" x14ac:dyDescent="0.8">
      <c r="A72" s="37"/>
      <c r="B72" s="37"/>
      <c r="C72" s="38" t="s">
        <v>114</v>
      </c>
      <c r="D72" s="38"/>
      <c r="E72" s="14">
        <f>SUMIF(D3:D57,"วิชาเลือก (กลุ่มวิชาชีพเลือก)",E3:E57)</f>
        <v>12</v>
      </c>
      <c r="F72" s="14">
        <v>12</v>
      </c>
    </row>
    <row r="73" spans="1:6" x14ac:dyDescent="0.8">
      <c r="A73" s="39" t="s">
        <v>115</v>
      </c>
      <c r="B73" s="40"/>
      <c r="C73" s="40"/>
      <c r="D73" s="41"/>
      <c r="E73" s="15">
        <f>SUMIF(D3:D57,"หมวดวิชาเลือกเสรี",E3:E57)</f>
        <v>6</v>
      </c>
      <c r="F73" s="15">
        <v>6</v>
      </c>
    </row>
    <row r="74" spans="1:6" x14ac:dyDescent="0.8">
      <c r="A74" s="30" t="s">
        <v>99</v>
      </c>
      <c r="B74" s="31"/>
      <c r="C74" s="31"/>
      <c r="D74" s="32"/>
      <c r="E74" s="16">
        <f>SUM(E60:E73)</f>
        <v>135</v>
      </c>
      <c r="F74" s="16">
        <f>SUM(F60:F73)</f>
        <v>135</v>
      </c>
    </row>
  </sheetData>
  <mergeCells count="26">
    <mergeCell ref="A73:D73"/>
    <mergeCell ref="A74:D74"/>
    <mergeCell ref="A20:D20"/>
    <mergeCell ref="I12:I19"/>
    <mergeCell ref="A47:D47"/>
    <mergeCell ref="A59:D59"/>
    <mergeCell ref="A60:B64"/>
    <mergeCell ref="C60:C62"/>
    <mergeCell ref="C63:C64"/>
    <mergeCell ref="A65:B72"/>
    <mergeCell ref="C67:C71"/>
    <mergeCell ref="C72:D72"/>
    <mergeCell ref="A30:D30"/>
    <mergeCell ref="A39:D39"/>
    <mergeCell ref="A57:D57"/>
    <mergeCell ref="I21:I29"/>
    <mergeCell ref="A1:I1"/>
    <mergeCell ref="A2:I2"/>
    <mergeCell ref="I4:I10"/>
    <mergeCell ref="A11:D11"/>
    <mergeCell ref="C65:C66"/>
    <mergeCell ref="A53:D53"/>
    <mergeCell ref="A55:D55"/>
    <mergeCell ref="I31:I38"/>
    <mergeCell ref="I40:I46"/>
    <mergeCell ref="I48:I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มคอ. 2</vt:lpstr>
      <vt:lpstr>แผนการเรียนในหลักสูตร 67</vt:lpstr>
      <vt:lpstr>แผนการเรียนในหลักสูตร 68</vt:lpstr>
    </vt:vector>
  </TitlesOfParts>
  <Company>Rajamangala University of Technology Lanna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Kampanat Sutijirapan</dc:creator>
  <cp:lastModifiedBy>Kampanat Sutijirapan</cp:lastModifiedBy>
  <dcterms:created xsi:type="dcterms:W3CDTF">2025-11-27T10:27:59Z</dcterms:created>
  <dcterms:modified xsi:type="dcterms:W3CDTF">2025-11-28T06:49:01Z</dcterms:modified>
</cp:coreProperties>
</file>