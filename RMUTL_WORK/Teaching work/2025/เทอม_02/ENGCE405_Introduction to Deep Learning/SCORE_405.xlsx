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WORK\RMUTL_WORK\Teaching work\2025\เทอม_02\ENGCE405_Introduction to Deep Learning\"/>
    </mc:Choice>
  </mc:AlternateContent>
  <xr:revisionPtr revIDLastSave="0" documentId="13_ncr:1_{53083D99-D8E2-4AA9-9C3C-53DEE4246DBA}" xr6:coauthVersionLast="47" xr6:coauthVersionMax="47" xr10:uidLastSave="{00000000-0000-0000-0000-000000000000}"/>
  <bookViews>
    <workbookView xWindow="5460" yWindow="2595" windowWidth="38700" windowHeight="15345" xr2:uid="{00000000-000D-0000-FFFF-FFFF00000000}"/>
  </bookViews>
  <sheets>
    <sheet name="ประวัติการศึกษ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8" i="1"/>
  <c r="N10" i="1"/>
  <c r="N9" i="1"/>
  <c r="N18" i="1" l="1"/>
  <c r="N19" i="1"/>
</calcChain>
</file>

<file path=xl/sharedStrings.xml><?xml version="1.0" encoding="utf-8"?>
<sst xmlns="http://schemas.openxmlformats.org/spreadsheetml/2006/main" count="46" uniqueCount="40">
  <si>
    <t>มหาวิทยาลัยเทคโนโลยีราชมงคลล้านนา เชียงราย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</si>
  <si>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</si>
  <si>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</si>
  <si>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</si>
  <si>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</si>
  <si>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Midterm (25)</t>
  </si>
  <si>
    <t>จิตพิสัย (5)</t>
  </si>
  <si>
    <t>SUMMARY</t>
  </si>
  <si>
    <t>MIDTERM</t>
  </si>
  <si>
    <t>FILNAL</t>
  </si>
  <si>
    <t>MEAN</t>
  </si>
  <si>
    <t>SD</t>
  </si>
  <si>
    <t>Z-Score</t>
  </si>
  <si>
    <t>GDP</t>
  </si>
  <si>
    <t>ใบรายชื่อนักศึกษา(ภาคเรียนที่ 2 ปีการศึกษา 2568)</t>
  </si>
  <si>
    <t>66143206002-7</t>
  </si>
  <si>
    <t>นายชยพล  อินเเก้ว</t>
  </si>
  <si>
    <t>66143206026-6</t>
  </si>
  <si>
    <t>นายปรเมศร์  ป้องไฝ</t>
  </si>
  <si>
    <t>66143206025-8</t>
  </si>
  <si>
    <t>นายน่านฟ้า  วงค์กาศ</t>
  </si>
  <si>
    <t>66143206027-4</t>
  </si>
  <si>
    <t>นายปราบเซียน  หน่อหล้า</t>
  </si>
  <si>
    <t>66143206030-8</t>
  </si>
  <si>
    <t>นางสาวศรีสมร  -</t>
  </si>
  <si>
    <t>66143206031-6</t>
  </si>
  <si>
    <t>นายสรยุทธ  สิงห์แก้ว</t>
  </si>
  <si>
    <t>66143206013-4</t>
  </si>
  <si>
    <t>นายกฤติพงษ์   สุวรรณทนงชัย</t>
  </si>
  <si>
    <t>66143206015-9</t>
  </si>
  <si>
    <t>นายเฉลิมพล  นามมุลตรี</t>
  </si>
  <si>
    <t>66143206017-5</t>
  </si>
  <si>
    <t>นายธนากร  ภูนาเพชร</t>
  </si>
  <si>
    <t>66143206018-3</t>
  </si>
  <si>
    <t>นายปฎิพล  อ่องคำ</t>
  </si>
  <si>
    <t>LAB (0)</t>
  </si>
  <si>
    <t>WORK (0)</t>
  </si>
  <si>
    <t>Quiz01(20)</t>
  </si>
  <si>
    <t>Quiz02(20)</t>
  </si>
  <si>
    <t xml:space="preserve"> รหัสวิชา ENGCE121     วิชา โครงสร้างและสถาปัตยกรรมคอมพิวเตอร์ หน่วยกิต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</si>
</sst>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  <font>
      <b/>
      <sz val="16"/>
      <color rgb="FFFF0000"/>
      <name val="TH SarabunPSK"/>
      <family val="2"/>
      <charset val="222"/>
    </font>
    <font>
      <b/>
      <sz val="16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/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T6" sqref="T6"/>
    </sheetView>
  </sheetViews>
  <sheetFormatPr defaultColWidth="8.7109375" defaultRowHeight="24" x14ac:dyDescent="0.55000000000000004"/>
  <cols>
    <col min="1" max="1" width="5" style="1" customWidth="1"/>
    <col min="2" max="2" width="15.5703125" style="1" bestFit="1" customWidth="1"/>
    <col min="3" max="3" width="27.140625" style="1" bestFit="1" customWidth="1"/>
    <col min="4" max="4" width="7.85546875" style="1" bestFit="1" customWidth="1"/>
    <col min="5" max="5" width="10.140625" style="1" bestFit="1" customWidth="1"/>
    <col min="6" max="6" width="11.42578125" style="1" bestFit="1" customWidth="1"/>
    <col min="7" max="7" width="13.42578125" style="1" bestFit="1" customWidth="1"/>
    <col min="8" max="8" width="10.42578125" style="1" bestFit="1" customWidth="1"/>
    <col min="9" max="9" width="7.85546875" style="1" bestFit="1" customWidth="1"/>
    <col min="10" max="10" width="10.140625" style="1" bestFit="1" customWidth="1"/>
    <col min="11" max="11" width="11.42578125" style="1" bestFit="1" customWidth="1"/>
    <col min="12" max="12" width="13.42578125" style="1" bestFit="1" customWidth="1"/>
    <col min="13" max="13" width="10.42578125" style="1" bestFit="1" customWidth="1"/>
    <col min="14" max="14" width="10.5703125" style="1" bestFit="1" customWidth="1"/>
    <col min="15" max="16" width="7.28515625" style="1" bestFit="1" customWidth="1"/>
    <col min="17" max="17" width="8.28515625" style="1" bestFit="1" customWidth="1"/>
    <col min="18" max="18" width="5" style="1" bestFit="1" customWidth="1"/>
    <col min="19" max="16384" width="8.7109375" style="1"/>
  </cols>
  <sheetData>
    <row r="1" spans="1:18" x14ac:dyDescent="0.5500000000000000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55000000000000004">
      <c r="A2" s="13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55000000000000004">
      <c r="A3" s="13" t="s">
        <v>39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x14ac:dyDescent="0.55000000000000004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x14ac:dyDescent="0.55000000000000004">
      <c r="A5" s="14" t="s">
        <v>2</v>
      </c>
      <c r="B5" s="14" t="s">
        <v>3</v>
      </c>
      <c r="C5" s="14" t="s">
        <v>4</v>
      </c>
      <c r="D5" s="14" t="s">
        <v>8</v>
      </c>
      <c r="E5" s="14"/>
      <c r="F5" s="14"/>
      <c r="G5" s="14"/>
      <c r="H5" s="14"/>
      <c r="I5" s="14" t="s">
        <v>9</v>
      </c>
      <c r="J5" s="14"/>
      <c r="K5" s="14"/>
      <c r="L5" s="14"/>
      <c r="M5" s="14"/>
      <c r="N5" s="14" t="s">
        <v>7</v>
      </c>
      <c r="O5" s="14" t="s">
        <v>10</v>
      </c>
      <c r="P5" s="14" t="s">
        <v>11</v>
      </c>
      <c r="Q5" s="14" t="s">
        <v>12</v>
      </c>
      <c r="R5" s="14" t="s">
        <v>13</v>
      </c>
    </row>
    <row r="6" spans="1:18" x14ac:dyDescent="0.55000000000000004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x14ac:dyDescent="0.55000000000000004">
      <c r="A7" s="14"/>
      <c r="B7" s="14"/>
      <c r="C7" s="14"/>
      <c r="D7" s="4" t="s">
        <v>35</v>
      </c>
      <c r="E7" s="4" t="s">
        <v>36</v>
      </c>
      <c r="F7" s="4" t="s">
        <v>37</v>
      </c>
      <c r="G7" s="4" t="s">
        <v>5</v>
      </c>
      <c r="H7" s="4" t="s">
        <v>6</v>
      </c>
      <c r="I7" s="4" t="s">
        <v>35</v>
      </c>
      <c r="J7" s="4" t="s">
        <v>36</v>
      </c>
      <c r="K7" s="4" t="s">
        <v>38</v>
      </c>
      <c r="L7" s="4" t="s">
        <v>5</v>
      </c>
      <c r="M7" s="4" t="s">
        <v>6</v>
      </c>
      <c r="N7" s="14"/>
      <c r="O7" s="14"/>
      <c r="P7" s="14"/>
      <c r="Q7" s="14"/>
      <c r="R7" s="14"/>
    </row>
    <row r="8" spans="1:18" x14ac:dyDescent="0.55000000000000004">
      <c r="A8" s="7">
        <v>1</v>
      </c>
      <c r="B8" s="7" t="s">
        <v>19</v>
      </c>
      <c r="C8" s="7" t="s">
        <v>20</v>
      </c>
      <c r="D8" s="3"/>
      <c r="E8" s="3"/>
      <c r="F8" s="2">
        <v>18.68</v>
      </c>
      <c r="G8" s="2">
        <v>20.5</v>
      </c>
      <c r="H8" s="2">
        <v>5</v>
      </c>
      <c r="I8" s="3"/>
      <c r="J8" s="3"/>
      <c r="K8" s="2">
        <v>17.600000000000001</v>
      </c>
      <c r="L8" s="2"/>
      <c r="M8" s="2">
        <v>5</v>
      </c>
      <c r="N8" s="2">
        <f>SUM(D8:M8)</f>
        <v>66.78</v>
      </c>
      <c r="O8" s="2"/>
      <c r="P8" s="2"/>
      <c r="Q8" s="2"/>
      <c r="R8" s="4"/>
    </row>
    <row r="9" spans="1:18" x14ac:dyDescent="0.55000000000000004">
      <c r="A9" s="7">
        <v>2</v>
      </c>
      <c r="B9" s="7" t="s">
        <v>21</v>
      </c>
      <c r="C9" s="7" t="s">
        <v>22</v>
      </c>
      <c r="D9" s="3"/>
      <c r="E9" s="3"/>
      <c r="F9" s="2">
        <v>7.2</v>
      </c>
      <c r="G9" s="2">
        <v>14</v>
      </c>
      <c r="H9" s="2">
        <v>5</v>
      </c>
      <c r="I9" s="3"/>
      <c r="J9" s="3"/>
      <c r="K9" s="2">
        <v>6.8</v>
      </c>
      <c r="L9" s="2"/>
      <c r="M9" s="2">
        <v>5</v>
      </c>
      <c r="N9" s="2">
        <f>SUM(D9:M9)</f>
        <v>38</v>
      </c>
      <c r="O9" s="2"/>
      <c r="P9" s="2"/>
      <c r="Q9" s="2"/>
      <c r="R9" s="4"/>
    </row>
    <row r="10" spans="1:18" x14ac:dyDescent="0.55000000000000004">
      <c r="A10" s="7">
        <v>3</v>
      </c>
      <c r="B10" s="7" t="s">
        <v>23</v>
      </c>
      <c r="C10" s="7" t="s">
        <v>24</v>
      </c>
      <c r="D10" s="3"/>
      <c r="E10" s="8"/>
      <c r="F10" s="2">
        <v>7.54</v>
      </c>
      <c r="G10" s="2">
        <v>13</v>
      </c>
      <c r="H10" s="2">
        <v>4</v>
      </c>
      <c r="I10" s="3"/>
      <c r="J10" s="3"/>
      <c r="K10" s="2">
        <v>1.2</v>
      </c>
      <c r="L10" s="2"/>
      <c r="M10" s="2">
        <v>4</v>
      </c>
      <c r="N10" s="2">
        <f>SUM(D10:M10)</f>
        <v>29.74</v>
      </c>
      <c r="O10" s="2"/>
      <c r="P10" s="2"/>
      <c r="Q10" s="2"/>
      <c r="R10" s="4"/>
    </row>
    <row r="11" spans="1:18" x14ac:dyDescent="0.55000000000000004">
      <c r="A11" s="7">
        <v>4</v>
      </c>
      <c r="B11" s="7" t="s">
        <v>25</v>
      </c>
      <c r="C11" s="10" t="s">
        <v>26</v>
      </c>
      <c r="D11" s="12"/>
      <c r="E11" s="12"/>
      <c r="F11" s="12">
        <v>6.8</v>
      </c>
      <c r="G11" s="12">
        <v>10.5</v>
      </c>
      <c r="H11" s="12">
        <v>5</v>
      </c>
      <c r="I11" s="12"/>
      <c r="J11" s="12"/>
      <c r="K11" s="12">
        <v>8</v>
      </c>
      <c r="L11" s="12"/>
      <c r="M11" s="2">
        <v>5</v>
      </c>
      <c r="N11" s="2">
        <f t="shared" ref="N11:N17" si="0">SUM(D11:M11)</f>
        <v>35.299999999999997</v>
      </c>
      <c r="O11" s="11"/>
      <c r="P11" s="11"/>
      <c r="Q11" s="11"/>
      <c r="R11" s="11"/>
    </row>
    <row r="12" spans="1:18" x14ac:dyDescent="0.55000000000000004">
      <c r="A12" s="7">
        <v>5</v>
      </c>
      <c r="B12" s="7" t="s">
        <v>15</v>
      </c>
      <c r="C12" s="10" t="s">
        <v>16</v>
      </c>
      <c r="D12" s="12"/>
      <c r="E12" s="12"/>
      <c r="F12" s="12">
        <v>6.08</v>
      </c>
      <c r="G12" s="12">
        <v>19.2</v>
      </c>
      <c r="H12" s="12">
        <v>5</v>
      </c>
      <c r="I12" s="12"/>
      <c r="J12" s="12"/>
      <c r="K12" s="12">
        <v>11.2</v>
      </c>
      <c r="L12" s="12"/>
      <c r="M12" s="2">
        <v>5</v>
      </c>
      <c r="N12" s="2">
        <f t="shared" si="0"/>
        <v>46.480000000000004</v>
      </c>
      <c r="O12" s="11"/>
      <c r="P12" s="11"/>
      <c r="Q12" s="11"/>
      <c r="R12" s="11"/>
    </row>
    <row r="13" spans="1:18" x14ac:dyDescent="0.55000000000000004">
      <c r="A13" s="7">
        <v>6</v>
      </c>
      <c r="B13" s="7" t="s">
        <v>27</v>
      </c>
      <c r="C13" s="10" t="s">
        <v>28</v>
      </c>
      <c r="D13" s="12"/>
      <c r="E13" s="12"/>
      <c r="F13" s="12">
        <v>8.34</v>
      </c>
      <c r="G13" s="12">
        <v>22.2</v>
      </c>
      <c r="H13" s="12">
        <v>5</v>
      </c>
      <c r="I13" s="12"/>
      <c r="J13" s="12"/>
      <c r="K13" s="12">
        <v>10.4</v>
      </c>
      <c r="L13" s="12"/>
      <c r="M13" s="12">
        <v>5</v>
      </c>
      <c r="N13" s="2">
        <f t="shared" si="0"/>
        <v>50.94</v>
      </c>
      <c r="O13" s="11"/>
      <c r="P13" s="11"/>
      <c r="Q13" s="11"/>
      <c r="R13" s="11"/>
    </row>
    <row r="14" spans="1:18" x14ac:dyDescent="0.55000000000000004">
      <c r="A14" s="7">
        <v>7</v>
      </c>
      <c r="B14" s="7" t="s">
        <v>29</v>
      </c>
      <c r="C14" s="10" t="s">
        <v>30</v>
      </c>
      <c r="D14" s="12"/>
      <c r="E14" s="12"/>
      <c r="F14" s="12">
        <v>7</v>
      </c>
      <c r="G14" s="12">
        <v>15.7</v>
      </c>
      <c r="H14" s="12">
        <v>5</v>
      </c>
      <c r="I14" s="12"/>
      <c r="J14" s="12"/>
      <c r="K14" s="12">
        <v>8.8000000000000007</v>
      </c>
      <c r="L14" s="12"/>
      <c r="M14" s="12">
        <v>4</v>
      </c>
      <c r="N14" s="2">
        <f t="shared" si="0"/>
        <v>40.5</v>
      </c>
      <c r="O14" s="11"/>
      <c r="P14" s="11"/>
      <c r="Q14" s="11"/>
      <c r="R14" s="11"/>
    </row>
    <row r="15" spans="1:18" x14ac:dyDescent="0.55000000000000004">
      <c r="A15" s="7">
        <v>8</v>
      </c>
      <c r="B15" s="7" t="s">
        <v>31</v>
      </c>
      <c r="C15" s="10" t="s">
        <v>32</v>
      </c>
      <c r="D15" s="12"/>
      <c r="E15" s="12"/>
      <c r="F15" s="12">
        <v>6.14</v>
      </c>
      <c r="G15" s="12">
        <v>18</v>
      </c>
      <c r="H15" s="12">
        <v>4.5</v>
      </c>
      <c r="I15" s="12"/>
      <c r="J15" s="12"/>
      <c r="K15" s="12">
        <v>9.1999999999999993</v>
      </c>
      <c r="L15" s="12"/>
      <c r="M15" s="12">
        <v>5</v>
      </c>
      <c r="N15" s="2">
        <f t="shared" si="0"/>
        <v>42.84</v>
      </c>
      <c r="O15" s="11"/>
      <c r="P15" s="11"/>
      <c r="Q15" s="11"/>
      <c r="R15" s="11"/>
    </row>
    <row r="16" spans="1:18" x14ac:dyDescent="0.55000000000000004">
      <c r="A16" s="7">
        <v>9</v>
      </c>
      <c r="B16" s="7" t="s">
        <v>33</v>
      </c>
      <c r="C16" s="10" t="s">
        <v>34</v>
      </c>
      <c r="D16" s="12"/>
      <c r="E16" s="12"/>
      <c r="F16" s="12">
        <v>3.8</v>
      </c>
      <c r="G16" s="12">
        <v>14</v>
      </c>
      <c r="H16" s="12">
        <v>5</v>
      </c>
      <c r="I16" s="12"/>
      <c r="J16" s="12"/>
      <c r="K16" s="12">
        <v>9.1999999999999993</v>
      </c>
      <c r="L16" s="12"/>
      <c r="M16" s="12">
        <v>5</v>
      </c>
      <c r="N16" s="2">
        <f t="shared" si="0"/>
        <v>37</v>
      </c>
      <c r="O16" s="11"/>
      <c r="P16" s="11"/>
      <c r="Q16" s="11"/>
      <c r="R16" s="11"/>
    </row>
    <row r="17" spans="1:18" x14ac:dyDescent="0.55000000000000004">
      <c r="A17" s="7">
        <v>10</v>
      </c>
      <c r="B17" s="7" t="s">
        <v>17</v>
      </c>
      <c r="C17" s="10" t="s">
        <v>18</v>
      </c>
      <c r="D17" s="12"/>
      <c r="E17" s="12"/>
      <c r="F17" s="12">
        <v>8.14</v>
      </c>
      <c r="G17" s="12">
        <v>5.5</v>
      </c>
      <c r="H17" s="12">
        <v>3.5</v>
      </c>
      <c r="I17" s="12"/>
      <c r="J17" s="12"/>
      <c r="K17" s="12">
        <v>12.4</v>
      </c>
      <c r="L17" s="12"/>
      <c r="M17" s="12">
        <v>5</v>
      </c>
      <c r="N17" s="2">
        <f t="shared" si="0"/>
        <v>34.54</v>
      </c>
      <c r="O17" s="11"/>
      <c r="P17" s="11"/>
      <c r="Q17" s="11"/>
      <c r="R17" s="11"/>
    </row>
    <row r="18" spans="1:18" x14ac:dyDescent="0.55000000000000004">
      <c r="M18" s="5" t="s">
        <v>10</v>
      </c>
      <c r="N18" s="6">
        <f>AVERAGE(N8:N17)</f>
        <v>42.212000000000003</v>
      </c>
    </row>
    <row r="19" spans="1:18" x14ac:dyDescent="0.55000000000000004">
      <c r="M19" s="9" t="s">
        <v>11</v>
      </c>
      <c r="N19" s="2">
        <f>_xlfn.STDEV.P(N8:N17)</f>
        <v>10.04190101524606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R1"/>
    <mergeCell ref="A2:R2"/>
    <mergeCell ref="A3:R3"/>
    <mergeCell ref="A4:R4"/>
    <mergeCell ref="O5:O7"/>
    <mergeCell ref="P5:P7"/>
    <mergeCell ref="Q5:Q7"/>
    <mergeCell ref="R5:R7"/>
    <mergeCell ref="N5:N7"/>
    <mergeCell ref="A5:A7"/>
    <mergeCell ref="B5:B7"/>
    <mergeCell ref="C5:C7"/>
    <mergeCell ref="D5:H6"/>
    <mergeCell ref="I5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2025-06-26T03:10:24Z</dcterms:created>
  <dcterms:modified xsi:type="dcterms:W3CDTF">2026-03-02T14:34:48Z</dcterms:modified>
  <cp:category/>
</cp:coreProperties>
</file>