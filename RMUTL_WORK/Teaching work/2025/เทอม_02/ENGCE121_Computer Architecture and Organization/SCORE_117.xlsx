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BSTER69\Documents\GitHub\WORK\RMUTL_WORK\Teaching work\2025\เทอม_02\ENGCE121_Computer Architecture and Organization\"/>
    </mc:Choice>
  </mc:AlternateContent>
  <xr:revisionPtr revIDLastSave="0" documentId="13_ncr:1_{4F30B873-3674-404E-BE47-4F7ED63CF85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ประวัติการศึกษ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8" i="1" l="1"/>
  <c r="N10" i="1"/>
  <c r="N9" i="1"/>
  <c r="N11" i="1" l="1"/>
  <c r="N12" i="1"/>
</calcChain>
</file>

<file path=xl/sharedStrings.xml><?xml version="1.0" encoding="utf-8"?>
<sst xmlns="http://schemas.openxmlformats.org/spreadsheetml/2006/main" count="32" uniqueCount="26">
  <si>
    <t>มหาวิทยาลัยเทคโนโลยีราชมงคลล้านนา เชียงราย</t>
  </si>
  <si>
    <t xml:space="preserve">     อาจารย์ผู้สอน อ.กัมปนาท  สุทธิจิระพันธ์</t>
  </si>
  <si>
    <t>ลำดับ</t>
  </si>
  <si>
    <t>รหัสนักศึกษา</t>
  </si>
  <si>
    <t>ชื่อ-นามสกกุล</t>
  </si>
  <si>
    <t>Quiz01(10)</t>
  </si>
  <si>
    <t>Midterm (25)</t>
  </si>
  <si>
    <t>จิตพิสัย (5)</t>
  </si>
  <si>
    <t>SUMMARY</t>
  </si>
  <si>
    <t>MIDTERM</t>
  </si>
  <si>
    <t>FILNAL</t>
  </si>
  <si>
    <t>WORK (5)</t>
  </si>
  <si>
    <t>LAB (5)</t>
  </si>
  <si>
    <t>Quiz02(10)</t>
  </si>
  <si>
    <t>MEAN</t>
  </si>
  <si>
    <t>SD</t>
  </si>
  <si>
    <t>Z-Score</t>
  </si>
  <si>
    <t>GDP</t>
  </si>
  <si>
    <t>ใบรายชื่อนักศึกษา(ภาคเรียนที่ 2 ปีการศึกษา 2568)</t>
  </si>
  <si>
    <t xml:space="preserve"> รหัสวิชา ENGCE121     วิชา โครงสร้างและสถาปัตยกรรมคอมพิวเตอร์ หน่วยกิต 3 กลุ่มวิชา ENGCE121_SEC_1</t>
  </si>
  <si>
    <t>66143206002-7</t>
  </si>
  <si>
    <t>นายชยพล  อินเเก้ว</t>
  </si>
  <si>
    <t>66143206019-1</t>
  </si>
  <si>
    <t>นายภูบดินทร์  ชะอุ่ม</t>
  </si>
  <si>
    <t>66143206026-6</t>
  </si>
  <si>
    <t>นายปรเมศร์  ป้องไฝ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</si>
</sst>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rgb="FF000000"/>
      <name val="Calibri"/>
    </font>
    <font>
      <b/>
      <sz val="16"/>
      <color rgb="FF000000"/>
      <name val="TH SarabunPSK"/>
      <family val="2"/>
      <charset val="222"/>
    </font>
    <font>
      <b/>
      <sz val="16"/>
      <color rgb="FFFF0000"/>
      <name val="TH SarabunPSK"/>
      <family val="2"/>
      <charset val="222"/>
    </font>
    <font>
      <b/>
      <sz val="16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3" xfId="0" applyFont="1" applyBorder="1"/>
    <xf numFmtId="164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I14" sqref="I14"/>
    </sheetView>
  </sheetViews>
  <sheetFormatPr defaultColWidth="8.7265625" defaultRowHeight="24" x14ac:dyDescent="0.8"/>
  <cols>
    <col min="1" max="1" width="5" style="1" customWidth="1"/>
    <col min="2" max="2" width="15.54296875" style="1" bestFit="1" customWidth="1"/>
    <col min="3" max="3" width="27.1796875" style="1" bestFit="1" customWidth="1"/>
    <col min="4" max="4" width="7.81640625" style="1" bestFit="1" customWidth="1"/>
    <col min="5" max="5" width="10.1796875" style="1" bestFit="1" customWidth="1"/>
    <col min="6" max="6" width="11.453125" style="1" bestFit="1" customWidth="1"/>
    <col min="7" max="7" width="13.453125" style="1" bestFit="1" customWidth="1"/>
    <col min="8" max="8" width="10.453125" style="1" bestFit="1" customWidth="1"/>
    <col min="9" max="9" width="7.81640625" style="1" bestFit="1" customWidth="1"/>
    <col min="10" max="10" width="10.1796875" style="1" bestFit="1" customWidth="1"/>
    <col min="11" max="11" width="11.453125" style="1" bestFit="1" customWidth="1"/>
    <col min="12" max="12" width="13.453125" style="1" bestFit="1" customWidth="1"/>
    <col min="13" max="13" width="10.453125" style="1" bestFit="1" customWidth="1"/>
    <col min="14" max="14" width="10.54296875" style="1" bestFit="1" customWidth="1"/>
    <col min="15" max="16" width="7.26953125" style="1" bestFit="1" customWidth="1"/>
    <col min="17" max="17" width="8.26953125" style="1" bestFit="1" customWidth="1"/>
    <col min="18" max="18" width="5" style="1" bestFit="1" customWidth="1"/>
    <col min="19" max="16384" width="8.7265625" style="1"/>
  </cols>
  <sheetData>
    <row r="1" spans="1:18" x14ac:dyDescent="0.8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x14ac:dyDescent="0.8">
      <c r="A2" s="9" t="s">
        <v>18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x14ac:dyDescent="0.8">
      <c r="A3" s="9" t="s">
        <v>19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x14ac:dyDescent="0.8">
      <c r="A4" s="9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x14ac:dyDescent="0.8">
      <c r="A5" s="10" t="s">
        <v>2</v>
      </c>
      <c r="B5" s="10" t="s">
        <v>3</v>
      </c>
      <c r="C5" s="10" t="s">
        <v>4</v>
      </c>
      <c r="D5" s="10" t="s">
        <v>9</v>
      </c>
      <c r="E5" s="10"/>
      <c r="F5" s="10"/>
      <c r="G5" s="10"/>
      <c r="H5" s="10"/>
      <c r="I5" s="10" t="s">
        <v>10</v>
      </c>
      <c r="J5" s="10"/>
      <c r="K5" s="10"/>
      <c r="L5" s="10"/>
      <c r="M5" s="10"/>
      <c r="N5" s="10" t="s">
        <v>8</v>
      </c>
      <c r="O5" s="10" t="s">
        <v>14</v>
      </c>
      <c r="P5" s="10" t="s">
        <v>15</v>
      </c>
      <c r="Q5" s="10" t="s">
        <v>16</v>
      </c>
      <c r="R5" s="10" t="s">
        <v>17</v>
      </c>
    </row>
    <row r="6" spans="1:18" x14ac:dyDescent="0.8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x14ac:dyDescent="0.8">
      <c r="A7" s="10"/>
      <c r="B7" s="10"/>
      <c r="C7" s="10"/>
      <c r="D7" s="4" t="s">
        <v>12</v>
      </c>
      <c r="E7" s="4" t="s">
        <v>11</v>
      </c>
      <c r="F7" s="4" t="s">
        <v>5</v>
      </c>
      <c r="G7" s="4" t="s">
        <v>6</v>
      </c>
      <c r="H7" s="4" t="s">
        <v>7</v>
      </c>
      <c r="I7" s="4" t="s">
        <v>12</v>
      </c>
      <c r="J7" s="4" t="s">
        <v>11</v>
      </c>
      <c r="K7" s="4" t="s">
        <v>13</v>
      </c>
      <c r="L7" s="4" t="s">
        <v>6</v>
      </c>
      <c r="M7" s="4" t="s">
        <v>7</v>
      </c>
      <c r="N7" s="10"/>
      <c r="O7" s="10"/>
      <c r="P7" s="10"/>
      <c r="Q7" s="10"/>
      <c r="R7" s="10"/>
    </row>
    <row r="8" spans="1:18" x14ac:dyDescent="0.8">
      <c r="A8" s="7">
        <v>1</v>
      </c>
      <c r="B8" s="7" t="s">
        <v>20</v>
      </c>
      <c r="C8" s="7" t="s">
        <v>21</v>
      </c>
      <c r="D8" s="3"/>
      <c r="E8" s="3"/>
      <c r="F8" s="2">
        <v>3.6</v>
      </c>
      <c r="G8" s="2">
        <v>3.2</v>
      </c>
      <c r="H8" s="2">
        <v>5</v>
      </c>
      <c r="I8" s="3"/>
      <c r="J8" s="3"/>
      <c r="K8" s="2">
        <v>3.8</v>
      </c>
      <c r="L8" s="2"/>
      <c r="M8" s="2"/>
      <c r="N8" s="2">
        <f>SUM(D8:M8)</f>
        <v>15.600000000000001</v>
      </c>
      <c r="O8" s="2"/>
      <c r="P8" s="2"/>
      <c r="Q8" s="2"/>
      <c r="R8" s="4"/>
    </row>
    <row r="9" spans="1:18" x14ac:dyDescent="0.8">
      <c r="A9" s="7">
        <v>2</v>
      </c>
      <c r="B9" s="7" t="s">
        <v>22</v>
      </c>
      <c r="C9" s="7" t="s">
        <v>23</v>
      </c>
      <c r="D9" s="3"/>
      <c r="E9" s="3"/>
      <c r="F9" s="2">
        <v>3.3</v>
      </c>
      <c r="G9" s="2">
        <v>8.1999999999999993</v>
      </c>
      <c r="H9" s="2">
        <v>5</v>
      </c>
      <c r="I9" s="3"/>
      <c r="J9" s="3"/>
      <c r="K9" s="2">
        <v>4.5999999999999996</v>
      </c>
      <c r="L9" s="2"/>
      <c r="M9" s="2"/>
      <c r="N9" s="2">
        <f>SUM(D9:M9)</f>
        <v>21.1</v>
      </c>
      <c r="O9" s="2"/>
      <c r="P9" s="2"/>
      <c r="Q9" s="2"/>
      <c r="R9" s="4"/>
    </row>
    <row r="10" spans="1:18" x14ac:dyDescent="0.8">
      <c r="A10" s="7">
        <v>3</v>
      </c>
      <c r="B10" s="7" t="s">
        <v>24</v>
      </c>
      <c r="C10" s="7" t="s">
        <v>25</v>
      </c>
      <c r="D10" s="3"/>
      <c r="E10" s="8"/>
      <c r="F10" s="2">
        <v>5.4</v>
      </c>
      <c r="G10" s="2">
        <v>8.9499999999999993</v>
      </c>
      <c r="H10" s="2">
        <v>3</v>
      </c>
      <c r="I10" s="3"/>
      <c r="J10" s="3"/>
      <c r="K10" s="2">
        <v>3.4</v>
      </c>
      <c r="L10" s="2"/>
      <c r="M10" s="2"/>
      <c r="N10" s="2">
        <f>SUM(D10:M10)</f>
        <v>20.75</v>
      </c>
      <c r="O10" s="2"/>
      <c r="P10" s="2"/>
      <c r="Q10" s="2"/>
      <c r="R10" s="4"/>
    </row>
    <row r="11" spans="1:18" x14ac:dyDescent="0.8">
      <c r="M11" s="5" t="s">
        <v>14</v>
      </c>
      <c r="N11" s="6">
        <f>AVERAGE(N8:N10)</f>
        <v>19.150000000000002</v>
      </c>
    </row>
    <row r="12" spans="1:18" x14ac:dyDescent="0.8">
      <c r="M12" s="4" t="s">
        <v>15</v>
      </c>
      <c r="N12" s="2">
        <f>_xlfn.STDEV.P(N8:N10)</f>
        <v>2.5142924783458795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R1"/>
    <mergeCell ref="A2:R2"/>
    <mergeCell ref="A3:R3"/>
    <mergeCell ref="A4:R4"/>
    <mergeCell ref="O5:O7"/>
    <mergeCell ref="P5:P7"/>
    <mergeCell ref="Q5:Q7"/>
    <mergeCell ref="R5:R7"/>
    <mergeCell ref="N5:N7"/>
    <mergeCell ref="A5:A7"/>
    <mergeCell ref="B5:B7"/>
    <mergeCell ref="C5:C7"/>
    <mergeCell ref="D5:H6"/>
    <mergeCell ref="I5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ประวัติการศึกษา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Kampanat Sutijirapan</cp:lastModifiedBy>
  <dcterms:created xsi:type="dcterms:W3CDTF">2025-06-26T03:10:24Z</dcterms:created>
  <dcterms:modified xsi:type="dcterms:W3CDTF">2026-02-13T04:13:40Z</dcterms:modified>
  <cp:category/>
</cp:coreProperties>
</file>