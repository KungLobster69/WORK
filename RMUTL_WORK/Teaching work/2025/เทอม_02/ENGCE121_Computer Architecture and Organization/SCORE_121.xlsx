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ENGCE121_Computer Architecture and Organization\"/>
    </mc:Choice>
  </mc:AlternateContent>
  <xr:revisionPtr revIDLastSave="0" documentId="13_ncr:1_{E96D08D2-658C-4F57-8481-48C6BBE45C76}" xr6:coauthVersionLast="47" xr6:coauthVersionMax="47" xr10:uidLastSave="{00000000-0000-0000-0000-000000000000}"/>
  <bookViews>
    <workbookView xWindow="5805" yWindow="2940" windowWidth="38700" windowHeight="15345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9" i="1" l="1"/>
  <c r="R10" i="1"/>
  <c r="R8" i="1"/>
  <c r="Q10" i="1"/>
  <c r="Q9" i="1"/>
  <c r="Q8" i="1"/>
  <c r="N8" i="1"/>
  <c r="O10" i="1" s="1"/>
  <c r="N10" i="1"/>
  <c r="N9" i="1"/>
  <c r="P8" i="1" l="1"/>
  <c r="P9" i="1"/>
  <c r="P10" i="1"/>
  <c r="O8" i="1"/>
  <c r="O9" i="1"/>
</calcChain>
</file>

<file path=xl/sharedStrings.xml><?xml version="1.0" encoding="utf-8"?>
<sst xmlns="http://schemas.openxmlformats.org/spreadsheetml/2006/main" count="30" uniqueCount="26">
  <si>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</si>
  <si>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</si>
  <si>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</si>
  <si>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</si>
  <si>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</si>
  <si>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Quiz01(10)</t>
  </si>
  <si>
    <t>Midterm (25)</t>
  </si>
  <si>
    <t>จิตพิสัย (5)</t>
  </si>
  <si>
    <t>SUMMARY</t>
  </si>
  <si>
    <t>MIDTERM</t>
  </si>
  <si>
    <t>FILNAL</t>
  </si>
  <si>
    <t>WORK (5)</t>
  </si>
  <si>
    <t>LAB (5)</t>
  </si>
  <si>
    <t>Quiz02(10)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</si>
  <si>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</si>
  <si>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</si>
  <si>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</si>
  <si>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</si>
  <si>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</si>
  <si>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 xml:space="preserve"> รหัสวิชา ENGCE121     วิชา โครงสร้างและสถาปัตยกรรมคอมพิวเตอร์ หน่วยกิต 3 กลุ่มวิชา ENGCE121_SEC_1</t>
  </si>
  <si>
    <t>66143206002-7</t>
  </si>
  <si>
    <t>นายชยพล  อินเเก้ว</t>
  </si>
  <si>
    <t>66143206019-1</t>
  </si>
  <si>
    <t>นายภูบดินทร์  ชะอุ่ม</t>
  </si>
  <si>
    <t>66143206026-6</t>
  </si>
  <si>
    <t>นายปรเมศร์  ป้องไฝ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</si>
</sst>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0" fontId="1" fillId="0" borderId="1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"/>
  <sheetViews>
    <sheetView tabSelected="1" workbookViewId="0">
      <selection activeCell="N13" sqref="N13"/>
    </sheetView>
  </sheetViews>
  <sheetFormatPr defaultColWidth="8.7109375" defaultRowHeight="24" x14ac:dyDescent="0.55000000000000004"/>
  <cols>
    <col min="1" max="1" width="5" style="1" customWidth="1"/>
    <col min="2" max="2" width="15.5703125" style="1" bestFit="1" customWidth="1"/>
    <col min="3" max="3" width="27.140625" style="1" bestFit="1" customWidth="1"/>
    <col min="4" max="4" width="7.85546875" style="1" bestFit="1" customWidth="1"/>
    <col min="5" max="5" width="10.140625" style="1" bestFit="1" customWidth="1"/>
    <col min="6" max="6" width="11.42578125" style="1" bestFit="1" customWidth="1"/>
    <col min="7" max="7" width="13.42578125" style="1" bestFit="1" customWidth="1"/>
    <col min="8" max="8" width="10.42578125" style="1" bestFit="1" customWidth="1"/>
    <col min="9" max="9" width="7.85546875" style="1" bestFit="1" customWidth="1"/>
    <col min="10" max="10" width="10.140625" style="1" bestFit="1" customWidth="1"/>
    <col min="11" max="11" width="11.42578125" style="1" bestFit="1" customWidth="1"/>
    <col min="12" max="12" width="13.42578125" style="1" bestFit="1" customWidth="1"/>
    <col min="13" max="13" width="10.42578125" style="1" bestFit="1" customWidth="1"/>
    <col min="14" max="14" width="10.5703125" style="1" bestFit="1" customWidth="1"/>
    <col min="15" max="16" width="7.28515625" style="1" bestFit="1" customWidth="1"/>
    <col min="17" max="17" width="8.28515625" style="1" bestFit="1" customWidth="1"/>
    <col min="18" max="18" width="5" style="1" bestFit="1" customWidth="1"/>
    <col min="19" max="16384" width="8.7109375" style="1"/>
  </cols>
  <sheetData>
    <row r="1" spans="1:18" x14ac:dyDescent="0.55000000000000004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spans="1:18" x14ac:dyDescent="0.55000000000000004">
      <c r="A2" s="8" t="s">
        <v>18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x14ac:dyDescent="0.55000000000000004">
      <c r="A3" s="8" t="s">
        <v>19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x14ac:dyDescent="0.55000000000000004">
      <c r="A4" s="8" t="s">
        <v>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spans="1:18" x14ac:dyDescent="0.55000000000000004">
      <c r="A5" s="9" t="s">
        <v>2</v>
      </c>
      <c r="B5" s="9" t="s">
        <v>3</v>
      </c>
      <c r="C5" s="9" t="s">
        <v>4</v>
      </c>
      <c r="D5" s="9" t="s">
        <v>9</v>
      </c>
      <c r="E5" s="9"/>
      <c r="F5" s="9"/>
      <c r="G5" s="9"/>
      <c r="H5" s="9"/>
      <c r="I5" s="9" t="s">
        <v>10</v>
      </c>
      <c r="J5" s="9"/>
      <c r="K5" s="9"/>
      <c r="L5" s="9"/>
      <c r="M5" s="9"/>
      <c r="N5" s="9" t="s">
        <v>8</v>
      </c>
      <c r="O5" s="9" t="s">
        <v>14</v>
      </c>
      <c r="P5" s="9" t="s">
        <v>15</v>
      </c>
      <c r="Q5" s="9" t="s">
        <v>16</v>
      </c>
      <c r="R5" s="9" t="s">
        <v>17</v>
      </c>
    </row>
    <row r="6" spans="1:18" x14ac:dyDescent="0.55000000000000004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</row>
    <row r="7" spans="1:18" x14ac:dyDescent="0.55000000000000004">
      <c r="A7" s="9"/>
      <c r="B7" s="9"/>
      <c r="C7" s="9"/>
      <c r="D7" s="3" t="s">
        <v>12</v>
      </c>
      <c r="E7" s="3" t="s">
        <v>11</v>
      </c>
      <c r="F7" s="3" t="s">
        <v>5</v>
      </c>
      <c r="G7" s="3" t="s">
        <v>6</v>
      </c>
      <c r="H7" s="3" t="s">
        <v>7</v>
      </c>
      <c r="I7" s="3" t="s">
        <v>12</v>
      </c>
      <c r="J7" s="3" t="s">
        <v>11</v>
      </c>
      <c r="K7" s="3" t="s">
        <v>13</v>
      </c>
      <c r="L7" s="3" t="s">
        <v>6</v>
      </c>
      <c r="M7" s="3" t="s">
        <v>7</v>
      </c>
      <c r="N7" s="9"/>
      <c r="O7" s="9"/>
      <c r="P7" s="9"/>
      <c r="Q7" s="9"/>
      <c r="R7" s="9"/>
    </row>
    <row r="8" spans="1:18" x14ac:dyDescent="0.55000000000000004">
      <c r="A8" s="4">
        <v>1</v>
      </c>
      <c r="B8" s="4" t="s">
        <v>20</v>
      </c>
      <c r="C8" s="4" t="s">
        <v>21</v>
      </c>
      <c r="D8" s="6">
        <v>10</v>
      </c>
      <c r="E8" s="7"/>
      <c r="F8" s="2">
        <v>3.6</v>
      </c>
      <c r="G8" s="2">
        <v>3.2</v>
      </c>
      <c r="H8" s="2">
        <v>5</v>
      </c>
      <c r="I8" s="10">
        <v>10</v>
      </c>
      <c r="J8" s="7"/>
      <c r="K8" s="2">
        <v>3.8</v>
      </c>
      <c r="L8" s="2">
        <v>6.5</v>
      </c>
      <c r="M8" s="2">
        <v>5</v>
      </c>
      <c r="N8" s="2">
        <f>SUM(D8:M8)</f>
        <v>47.1</v>
      </c>
      <c r="O8" s="2">
        <f>AVERAGE(N8:N10)</f>
        <v>52.316666666666663</v>
      </c>
      <c r="P8" s="2">
        <f>_xlfn.STDEV.P(N8:N10)</f>
        <v>3.8114593297347699</v>
      </c>
      <c r="Q8" s="2">
        <f>(N8-O8)/P8</f>
        <v>-1.3686796094003386</v>
      </c>
      <c r="R8" s="3" t="str">
        <f>IF(N8&gt;=70, "A", IF(N8&gt;=65, "B+", IF(N8&gt;=60, "B", IF(N8&gt;=55, "C+", IF(N8&gt;=50, "C", IF(N8&gt;=45, "D+", IF(N8&gt;=40, "D", "F")))))))</f>
        <v>D+</v>
      </c>
    </row>
    <row r="9" spans="1:18" x14ac:dyDescent="0.55000000000000004">
      <c r="A9" s="4">
        <v>2</v>
      </c>
      <c r="B9" s="4" t="s">
        <v>22</v>
      </c>
      <c r="C9" s="4" t="s">
        <v>23</v>
      </c>
      <c r="D9" s="6">
        <v>10</v>
      </c>
      <c r="E9" s="7"/>
      <c r="F9" s="2">
        <v>3.3</v>
      </c>
      <c r="G9" s="2">
        <v>8.1999999999999993</v>
      </c>
      <c r="H9" s="2">
        <v>5</v>
      </c>
      <c r="I9" s="10">
        <v>10</v>
      </c>
      <c r="J9" s="7"/>
      <c r="K9" s="2">
        <v>4.5999999999999996</v>
      </c>
      <c r="L9" s="2">
        <v>10</v>
      </c>
      <c r="M9" s="2">
        <v>5</v>
      </c>
      <c r="N9" s="2">
        <f>SUM(D9:M9)</f>
        <v>56.1</v>
      </c>
      <c r="O9" s="2">
        <f>AVERAGE(N8:N10)</f>
        <v>52.316666666666663</v>
      </c>
      <c r="P9" s="2">
        <f>_xlfn.STDEV.P(N8:N10)</f>
        <v>3.8114593297347699</v>
      </c>
      <c r="Q9" s="2">
        <f>(N9-O9)/P9</f>
        <v>0.99262067518810737</v>
      </c>
      <c r="R9" s="5" t="str">
        <f t="shared" ref="R9:R10" si="0">IF(N9&gt;=70, "A", IF(N9&gt;=65, "B+", IF(N9&gt;=60, "B", IF(N9&gt;=55, "C+", IF(N9&gt;=50, "C", IF(N9&gt;=45, "D+", IF(N9&gt;=40, "D", "F")))))))</f>
        <v>C+</v>
      </c>
    </row>
    <row r="10" spans="1:18" x14ac:dyDescent="0.55000000000000004">
      <c r="A10" s="4">
        <v>3</v>
      </c>
      <c r="B10" s="4" t="s">
        <v>24</v>
      </c>
      <c r="C10" s="4" t="s">
        <v>25</v>
      </c>
      <c r="D10" s="6">
        <v>10</v>
      </c>
      <c r="E10" s="7"/>
      <c r="F10" s="2">
        <v>5.4</v>
      </c>
      <c r="G10" s="2">
        <v>8.9499999999999993</v>
      </c>
      <c r="H10" s="2">
        <v>3</v>
      </c>
      <c r="I10" s="10">
        <v>10</v>
      </c>
      <c r="J10" s="7"/>
      <c r="K10" s="2">
        <v>3.4</v>
      </c>
      <c r="L10" s="2">
        <v>8</v>
      </c>
      <c r="M10" s="2">
        <v>5</v>
      </c>
      <c r="N10" s="2">
        <f>SUM(D10:M10)</f>
        <v>53.75</v>
      </c>
      <c r="O10" s="2">
        <f>AVERAGE(N8:N10)</f>
        <v>52.316666666666663</v>
      </c>
      <c r="P10" s="2">
        <f>_xlfn.STDEV.P(N8:N10)</f>
        <v>3.8114593297347699</v>
      </c>
      <c r="Q10" s="2">
        <f>(N10-O10)/P10</f>
        <v>0.37605893421223502</v>
      </c>
      <c r="R10" s="5" t="str">
        <f t="shared" si="0"/>
        <v>C</v>
      </c>
    </row>
  </sheetData>
  <sheetProtection formatCells="0" formatColumns="0" formatRows="0" insertColumns="0" insertRows="0" insertHyperlinks="0" deleteColumns="0" deleteRows="0" sort="0" autoFilter="0" pivotTables="0"/>
  <mergeCells count="20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  <mergeCell ref="D8:E8"/>
    <mergeCell ref="D9:E9"/>
    <mergeCell ref="D10:E10"/>
    <mergeCell ref="I8:J8"/>
    <mergeCell ref="I9:J9"/>
    <mergeCell ref="I10:J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2026-03-12T13:45:08Z</dcterms:modified>
  <cp:category/>
</cp:coreProperties>
</file>